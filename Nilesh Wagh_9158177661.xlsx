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Nilesh Wagh_9158177661\"/>
    </mc:Choice>
  </mc:AlternateContent>
  <xr:revisionPtr revIDLastSave="0" documentId="13_ncr:1_{F9E901D0-D930-48D1-8A70-B14008AF8ED9}" xr6:coauthVersionLast="47" xr6:coauthVersionMax="47" xr10:uidLastSave="{00000000-0000-0000-0000-000000000000}"/>
  <bookViews>
    <workbookView xWindow="-108" yWindow="-108" windowWidth="23256" windowHeight="12456" tabRatio="837" xr2:uid="{00000000-000D-0000-FFFF-FFFF00000000}"/>
  </bookViews>
  <sheets>
    <sheet name="Cover" sheetId="1" r:id="rId1"/>
    <sheet name="Assumptions" sheetId="2" r:id="rId2"/>
    <sheet name="KPI Schedule" sheetId="3" r:id="rId3"/>
    <sheet name="Revenue Build" sheetId="4" r:id="rId4"/>
    <sheet name="Income Statement" sheetId="5" r:id="rId5"/>
    <sheet name="Balance Sheet" sheetId="6" r:id="rId6"/>
    <sheet name="Cash Flow" sheetId="7" r:id="rId7"/>
    <sheet name="Valuation" sheetId="8" r:id="rId8"/>
    <sheet name="Interactive Dashboard" sheetId="9" r:id="rId9"/>
    <sheet name="Chart_Dat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0" l="1"/>
  <c r="G14" i="10"/>
  <c r="G13" i="10"/>
  <c r="G12" i="10"/>
  <c r="F15" i="10"/>
  <c r="F14" i="10"/>
  <c r="F13" i="10"/>
  <c r="F12" i="10"/>
  <c r="I20" i="9"/>
  <c r="E5" i="9"/>
  <c r="B17" i="8"/>
  <c r="E15" i="8"/>
  <c r="B15" i="8"/>
  <c r="E14" i="8"/>
  <c r="B14" i="8"/>
  <c r="E13" i="8"/>
  <c r="B13" i="8"/>
  <c r="D9" i="8"/>
  <c r="C9" i="8"/>
  <c r="C15" i="7"/>
  <c r="B15" i="7"/>
  <c r="D13" i="7"/>
  <c r="C13" i="7"/>
  <c r="B13" i="7"/>
  <c r="C12" i="7"/>
  <c r="B12" i="7"/>
  <c r="D26" i="6"/>
  <c r="C26" i="6"/>
  <c r="B26" i="6"/>
  <c r="E22" i="6"/>
  <c r="E21" i="6"/>
  <c r="D20" i="6"/>
  <c r="E14" i="6"/>
  <c r="E13" i="6"/>
  <c r="E12" i="6"/>
  <c r="E6" i="6"/>
  <c r="E5" i="6"/>
  <c r="C24" i="5"/>
  <c r="B24" i="5"/>
  <c r="C22" i="5"/>
  <c r="B22" i="5"/>
  <c r="F17" i="5"/>
  <c r="E17" i="5"/>
  <c r="D17" i="5"/>
  <c r="C16" i="5"/>
  <c r="B16" i="5"/>
  <c r="C14" i="5"/>
  <c r="B14" i="5"/>
  <c r="C12" i="5"/>
  <c r="B12" i="5"/>
  <c r="C10" i="5"/>
  <c r="B10" i="5"/>
  <c r="C8" i="5"/>
  <c r="B8" i="5"/>
  <c r="C5" i="5"/>
  <c r="C16" i="4"/>
  <c r="B16" i="4"/>
  <c r="C15" i="4"/>
  <c r="D14" i="4"/>
  <c r="C13" i="4"/>
  <c r="D12" i="4"/>
  <c r="C10" i="4"/>
  <c r="B10" i="4"/>
  <c r="C9" i="4"/>
  <c r="B9" i="4"/>
  <c r="C7" i="4"/>
  <c r="B7" i="4"/>
  <c r="D6" i="4"/>
  <c r="C6" i="4"/>
  <c r="B6" i="4"/>
  <c r="C5" i="4"/>
  <c r="B5" i="4"/>
  <c r="C4" i="4"/>
  <c r="B4" i="4"/>
  <c r="C19" i="3"/>
  <c r="B19" i="3"/>
  <c r="C17" i="3"/>
  <c r="B17" i="3"/>
  <c r="F16" i="3"/>
  <c r="E16" i="3"/>
  <c r="D16" i="3"/>
  <c r="C16" i="3"/>
  <c r="B16" i="3"/>
  <c r="F13" i="3"/>
  <c r="E13" i="3"/>
  <c r="D13" i="3"/>
  <c r="C13" i="3"/>
  <c r="B13" i="3"/>
  <c r="D10" i="3"/>
  <c r="B10" i="3"/>
  <c r="C9" i="3"/>
  <c r="C7" i="3"/>
  <c r="D6" i="3"/>
  <c r="C5" i="3"/>
  <c r="D4" i="3"/>
  <c r="J20" i="9" l="1"/>
  <c r="F14" i="6"/>
  <c r="F13" i="6"/>
  <c r="F12" i="6"/>
  <c r="D27" i="6"/>
  <c r="C27" i="6"/>
  <c r="B27" i="6"/>
  <c r="F6" i="6"/>
  <c r="F5" i="6"/>
  <c r="B18" i="4"/>
  <c r="C17" i="4"/>
  <c r="C18" i="4"/>
  <c r="B17" i="4"/>
  <c r="D15" i="4"/>
  <c r="E14" i="4"/>
  <c r="D13" i="4"/>
  <c r="E12" i="4"/>
  <c r="D16" i="4"/>
  <c r="C8" i="4"/>
  <c r="B8" i="4"/>
  <c r="D4" i="4"/>
  <c r="D8" i="4" s="1"/>
  <c r="D11" i="3"/>
  <c r="C11" i="3"/>
  <c r="E10" i="3"/>
  <c r="D8" i="3"/>
  <c r="D7" i="3"/>
  <c r="D7" i="4" s="1"/>
  <c r="E6" i="3"/>
  <c r="D5" i="3"/>
  <c r="D5" i="4" s="1"/>
  <c r="E4" i="3"/>
  <c r="I9" i="9"/>
  <c r="F22" i="6"/>
  <c r="F21" i="6"/>
  <c r="E20" i="6"/>
  <c r="F20" i="6" s="1"/>
  <c r="F14" i="4" l="1"/>
  <c r="E15" i="4"/>
  <c r="F12" i="4"/>
  <c r="E13" i="4"/>
  <c r="E16" i="4"/>
  <c r="F10" i="3"/>
  <c r="F11" i="3" s="1"/>
  <c r="E11" i="3"/>
  <c r="D9" i="3"/>
  <c r="D10" i="4" s="1"/>
  <c r="D9" i="4"/>
  <c r="D4" i="5" s="1"/>
  <c r="F6" i="3"/>
  <c r="E7" i="3"/>
  <c r="E7" i="4" s="1"/>
  <c r="E6" i="4"/>
  <c r="F4" i="3"/>
  <c r="E5" i="3"/>
  <c r="E5" i="4" s="1"/>
  <c r="E8" i="3"/>
  <c r="E4" i="4"/>
  <c r="E8" i="4" s="1"/>
  <c r="D18" i="4"/>
  <c r="D17" i="4"/>
  <c r="F15" i="4" l="1"/>
  <c r="F13" i="4"/>
  <c r="F16" i="4"/>
  <c r="D6" i="5"/>
  <c r="D7" i="5"/>
  <c r="D9" i="5"/>
  <c r="D10" i="5" s="1"/>
  <c r="D5" i="5"/>
  <c r="D11" i="5"/>
  <c r="D12" i="5" s="1"/>
  <c r="D13" i="5"/>
  <c r="D14" i="5" s="1"/>
  <c r="D17" i="6"/>
  <c r="D5" i="7"/>
  <c r="D6" i="7"/>
  <c r="D7" i="7"/>
  <c r="D9" i="7"/>
  <c r="D7" i="6"/>
  <c r="D11" i="6"/>
  <c r="D15" i="6" s="1"/>
  <c r="C13" i="8"/>
  <c r="D13" i="8" s="1"/>
  <c r="F13" i="8" s="1"/>
  <c r="C14" i="8"/>
  <c r="D14" i="8" s="1"/>
  <c r="F14" i="8" s="1"/>
  <c r="B18" i="8" s="1"/>
  <c r="C15" i="8"/>
  <c r="D15" i="8" s="1"/>
  <c r="F15" i="8" s="1"/>
  <c r="B21" i="8"/>
  <c r="C21" i="8"/>
  <c r="D21" i="8"/>
  <c r="E21" i="8"/>
  <c r="F21" i="8"/>
  <c r="B22" i="8"/>
  <c r="C22" i="8"/>
  <c r="D22" i="8"/>
  <c r="E22" i="8"/>
  <c r="F22" i="8"/>
  <c r="B23" i="8"/>
  <c r="C23" i="8"/>
  <c r="D23" i="8"/>
  <c r="E23" i="8"/>
  <c r="F23" i="8"/>
  <c r="D18" i="6"/>
  <c r="D19" i="6"/>
  <c r="D8" i="6"/>
  <c r="F7" i="3"/>
  <c r="F7" i="4" s="1"/>
  <c r="F6" i="4"/>
  <c r="F5" i="3"/>
  <c r="F5" i="4" s="1"/>
  <c r="F8" i="3"/>
  <c r="F4" i="4"/>
  <c r="F8" i="4" s="1"/>
  <c r="E9" i="3"/>
  <c r="E10" i="4" s="1"/>
  <c r="E9" i="4"/>
  <c r="E4" i="5" s="1"/>
  <c r="E18" i="4"/>
  <c r="E17" i="4"/>
  <c r="D8" i="5" l="1"/>
  <c r="D15" i="5"/>
  <c r="B29" i="8"/>
  <c r="B28" i="8"/>
  <c r="B30" i="8" s="1"/>
  <c r="B27" i="8"/>
  <c r="F9" i="3"/>
  <c r="F10" i="4" s="1"/>
  <c r="F9" i="4"/>
  <c r="F4" i="5" s="1"/>
  <c r="E7" i="5"/>
  <c r="E11" i="5"/>
  <c r="E12" i="5" s="1"/>
  <c r="E13" i="5"/>
  <c r="E14" i="5" s="1"/>
  <c r="E17" i="6"/>
  <c r="E15" i="6"/>
  <c r="E5" i="7"/>
  <c r="E6" i="7"/>
  <c r="E7" i="7"/>
  <c r="E9" i="7"/>
  <c r="E11" i="6"/>
  <c r="E18" i="6"/>
  <c r="E19" i="6"/>
  <c r="E7" i="6"/>
  <c r="E8" i="6"/>
  <c r="E9" i="6"/>
  <c r="E5" i="5"/>
  <c r="E6" i="5"/>
  <c r="E9" i="5"/>
  <c r="E10" i="5" s="1"/>
  <c r="D23" i="6"/>
  <c r="E23" i="6" s="1"/>
  <c r="F23" i="6" s="1"/>
  <c r="D9" i="6"/>
  <c r="F18" i="4"/>
  <c r="F17" i="4"/>
  <c r="D16" i="5" l="1"/>
  <c r="D20" i="5"/>
  <c r="D17" i="3"/>
  <c r="F6" i="5"/>
  <c r="F7" i="5"/>
  <c r="F11" i="5"/>
  <c r="F12" i="5" s="1"/>
  <c r="F13" i="5"/>
  <c r="F14" i="5" s="1"/>
  <c r="F15" i="6"/>
  <c r="F5" i="7"/>
  <c r="F6" i="7"/>
  <c r="F7" i="7"/>
  <c r="F9" i="7"/>
  <c r="F11" i="6"/>
  <c r="F17" i="6"/>
  <c r="F18" i="6"/>
  <c r="F19" i="6"/>
  <c r="F7" i="6"/>
  <c r="F8" i="6"/>
  <c r="F9" i="6"/>
  <c r="F5" i="5"/>
  <c r="F9" i="5"/>
  <c r="F10" i="5" s="1"/>
  <c r="E8" i="5"/>
  <c r="E15" i="5"/>
  <c r="E24" i="6"/>
  <c r="D21" i="5" l="1"/>
  <c r="D22" i="5" s="1"/>
  <c r="F15" i="5"/>
  <c r="F8" i="5"/>
  <c r="E16" i="5"/>
  <c r="E20" i="5"/>
  <c r="E17" i="3"/>
  <c r="F24" i="6"/>
  <c r="F16" i="5" l="1"/>
  <c r="F20" i="5"/>
  <c r="F17" i="3"/>
  <c r="E21" i="5"/>
  <c r="E22" i="5" s="1"/>
  <c r="D23" i="5"/>
  <c r="F21" i="5" l="1"/>
  <c r="F22" i="5" s="1"/>
  <c r="F23" i="5"/>
  <c r="D4" i="7"/>
  <c r="D8" i="7" s="1"/>
  <c r="D10" i="7" s="1"/>
  <c r="D24" i="5"/>
  <c r="E23" i="5"/>
  <c r="F24" i="5" l="1"/>
  <c r="F4" i="7"/>
  <c r="F8" i="7" s="1"/>
  <c r="F10" i="7" s="1"/>
  <c r="D12" i="7"/>
  <c r="D19" i="3" s="1"/>
  <c r="D15" i="7"/>
  <c r="E4" i="7"/>
  <c r="E8" i="7" s="1"/>
  <c r="E10" i="7" s="1"/>
  <c r="E24" i="5"/>
  <c r="F15" i="7" l="1"/>
  <c r="F12" i="7"/>
  <c r="F19" i="3" s="1"/>
  <c r="E12" i="7"/>
  <c r="E19" i="3" s="1"/>
  <c r="E15" i="7"/>
  <c r="E4" i="6"/>
  <c r="F4" i="6" l="1"/>
  <c r="E10" i="6"/>
  <c r="E16" i="6" s="1"/>
  <c r="E13" i="7"/>
  <c r="F10" i="6" l="1"/>
  <c r="F16" i="6" s="1"/>
  <c r="F13" i="7"/>
  <c r="E25" i="6"/>
  <c r="E26" i="6" s="1"/>
  <c r="E27" i="6"/>
  <c r="F25" i="6" l="1"/>
  <c r="F26" i="6" s="1"/>
  <c r="F27" i="6" l="1"/>
</calcChain>
</file>

<file path=xl/sharedStrings.xml><?xml version="1.0" encoding="utf-8"?>
<sst xmlns="http://schemas.openxmlformats.org/spreadsheetml/2006/main" count="326" uniqueCount="243">
  <si>
    <t>Entrata IPO Valuation Model</t>
  </si>
  <si>
    <t>Company</t>
  </si>
  <si>
    <t>Entrata, Inc.</t>
  </si>
  <si>
    <t>Proposed Ticker</t>
  </si>
  <si>
    <t>ENT</t>
  </si>
  <si>
    <t>Prepared By</t>
  </si>
  <si>
    <t>Nilesh Wagh</t>
  </si>
  <si>
    <t>Date</t>
  </si>
  <si>
    <t>June 2026</t>
  </si>
  <si>
    <t>Purpose</t>
  </si>
  <si>
    <t>IPO valuation case study model</t>
  </si>
  <si>
    <t>Model Summary</t>
  </si>
  <si>
    <t>Target Price</t>
  </si>
  <si>
    <t>$26/share</t>
  </si>
  <si>
    <t>IPO Range</t>
  </si>
  <si>
    <t>$24-$30/share</t>
  </si>
  <si>
    <t>Primary Method</t>
  </si>
  <si>
    <t>EV / Forward Revenue</t>
  </si>
  <si>
    <t>Post-IPO Shares</t>
  </si>
  <si>
    <t>205.0M</t>
  </si>
  <si>
    <t>Key Revenue Driver</t>
  </si>
  <si>
    <t>Units × ARPU</t>
  </si>
  <si>
    <t>Base 2026E Revenue</t>
  </si>
  <si>
    <t>Linked to model</t>
  </si>
  <si>
    <t>Core Thesis</t>
  </si>
  <si>
    <t>High-growth profitable vertical SaaS platform with expanding margins and large SAM.</t>
  </si>
  <si>
    <t>Note</t>
  </si>
  <si>
    <t>Blue font = hardcoded input; Green font = linked; Black font = formula.</t>
  </si>
  <si>
    <t>Assumptions &amp; Model Inputs</t>
  </si>
  <si>
    <t>Assumption</t>
  </si>
  <si>
    <t>2024A</t>
  </si>
  <si>
    <t>2025A</t>
  </si>
  <si>
    <t>2026E</t>
  </si>
  <si>
    <t>2027E</t>
  </si>
  <si>
    <t>2028E</t>
  </si>
  <si>
    <t>Unit Growth</t>
  </si>
  <si>
    <t>ARPU Growth</t>
  </si>
  <si>
    <t>Gross Margin</t>
  </si>
  <si>
    <t>S&amp;M % Revenue</t>
  </si>
  <si>
    <t>R&amp;D % Revenue</t>
  </si>
  <si>
    <t>G&amp;A % Revenue</t>
  </si>
  <si>
    <t>Tax Rate</t>
  </si>
  <si>
    <t>Interest Expense ($M)</t>
  </si>
  <si>
    <t>D&amp;A % Revenue</t>
  </si>
  <si>
    <t>SBC % Revenue</t>
  </si>
  <si>
    <t>Capex % Revenue</t>
  </si>
  <si>
    <t>Net Working Capital % Revenue</t>
  </si>
  <si>
    <t>ARR Growth</t>
  </si>
  <si>
    <t>Net Retention</t>
  </si>
  <si>
    <t>EV/Revenue - Bear</t>
  </si>
  <si>
    <t>EV/Revenue - Base</t>
  </si>
  <si>
    <t>EV/Revenue - Bull</t>
  </si>
  <si>
    <t>Post-IPO Shares Outstanding (M)</t>
  </si>
  <si>
    <t>Net Debt / (Cash) ($M)</t>
  </si>
  <si>
    <t>KPI Schedule</t>
  </si>
  <si>
    <t>KPI</t>
  </si>
  <si>
    <t>Units</t>
  </si>
  <si>
    <t>ARPU ($)</t>
  </si>
  <si>
    <t>Revenue ($M)</t>
  </si>
  <si>
    <t>Revenue Growth</t>
  </si>
  <si>
    <t>ARR ($M)</t>
  </si>
  <si>
    <t>Gross Retention</t>
  </si>
  <si>
    <t>Customers &gt; $500K ARR</t>
  </si>
  <si>
    <t>% of ARR from &gt;$500K Customers</t>
  </si>
  <si>
    <t>Operating Margin</t>
  </si>
  <si>
    <t>Non-GAAP Operating Margin</t>
  </si>
  <si>
    <t>Free Cash Flow Margin</t>
  </si>
  <si>
    <t>Commentary</t>
  </si>
  <si>
    <t>Strong enterprise adoption + high retention</t>
  </si>
  <si>
    <t>Improved scale + retention</t>
  </si>
  <si>
    <t>Unit and ARPU expansion</t>
  </si>
  <si>
    <t>Moderating growth, margin expansion</t>
  </si>
  <si>
    <t>Mature growth, higher FCF</t>
  </si>
  <si>
    <t>Revenue Build</t>
  </si>
  <si>
    <t>Revenue Build ($M unless noted)</t>
  </si>
  <si>
    <t>Revenue from Units × ARPU</t>
  </si>
  <si>
    <t>Reported / Forecast Revenue</t>
  </si>
  <si>
    <t>Revenue by Segment</t>
  </si>
  <si>
    <t>Subscription-related Revenue</t>
  </si>
  <si>
    <t>Subscription Revenue Growth</t>
  </si>
  <si>
    <t>Embedded Technology Solutions Revenue</t>
  </si>
  <si>
    <t>Embedded Tech Revenue Growth</t>
  </si>
  <si>
    <t>Total Segment Revenue</t>
  </si>
  <si>
    <t>Subscription % Total</t>
  </si>
  <si>
    <t>Embedded Tech % Total</t>
  </si>
  <si>
    <t>Income Statement</t>
  </si>
  <si>
    <t>($M)</t>
  </si>
  <si>
    <t>Revenue</t>
  </si>
  <si>
    <t>Cost of Revenue</t>
  </si>
  <si>
    <t>Gross Profit</t>
  </si>
  <si>
    <t>Sales &amp; Marketing</t>
  </si>
  <si>
    <t>% Revenue</t>
  </si>
  <si>
    <t>Research &amp; Product Development</t>
  </si>
  <si>
    <t>General &amp; Administrative</t>
  </si>
  <si>
    <t>Operating Income</t>
  </si>
  <si>
    <t>Interest Expense</t>
  </si>
  <si>
    <t>Other Expense / Income</t>
  </si>
  <si>
    <t>Loss on Debt Extinguishment</t>
  </si>
  <si>
    <t>Income Before Tax</t>
  </si>
  <si>
    <t>Tax Expense</t>
  </si>
  <si>
    <t>Net Income</t>
  </si>
  <si>
    <t>Net Margin</t>
  </si>
  <si>
    <t>Balance Sheet</t>
  </si>
  <si>
    <t>Cash &amp; Equivalents</t>
  </si>
  <si>
    <t>Designated Cash</t>
  </si>
  <si>
    <t>Restricted Cash</t>
  </si>
  <si>
    <t>Accounts Receivable</t>
  </si>
  <si>
    <t>Deferred Contract Costs</t>
  </si>
  <si>
    <t>Prepaids &amp; Other Current Assets</t>
  </si>
  <si>
    <t>Total Current Assets</t>
  </si>
  <si>
    <t>PP&amp;E, Net</t>
  </si>
  <si>
    <t>ROU Assets</t>
  </si>
  <si>
    <t>Intangible Assets, Net</t>
  </si>
  <si>
    <t>Goodwill</t>
  </si>
  <si>
    <t>Other Assets</t>
  </si>
  <si>
    <t>Total Assets</t>
  </si>
  <si>
    <t>Accounts Payable</t>
  </si>
  <si>
    <t>Accrued Expenses &amp; Other Current Liabilities</t>
  </si>
  <si>
    <t>Deferred Revenue</t>
  </si>
  <si>
    <t>Customer Deposits</t>
  </si>
  <si>
    <t>Debt</t>
  </si>
  <si>
    <t>Lease Liabilities</t>
  </si>
  <si>
    <t>Other Liabilities</t>
  </si>
  <si>
    <t>Total Liabilities</t>
  </si>
  <si>
    <t>Stockholders' Equity</t>
  </si>
  <si>
    <t>Total Liabilities + Equity</t>
  </si>
  <si>
    <t>Balance Check</t>
  </si>
  <si>
    <t>Cash Flow Statement</t>
  </si>
  <si>
    <t>D&amp;A</t>
  </si>
  <si>
    <t>Stock-Based Compensation</t>
  </si>
  <si>
    <t>Change in Net Working Capital / Other</t>
  </si>
  <si>
    <t>Operating Cash Flow</t>
  </si>
  <si>
    <t>Capex / Purchases of PPE &amp; Software</t>
  </si>
  <si>
    <t>Free Cash Flow</t>
  </si>
  <si>
    <t>Debt Repayment</t>
  </si>
  <si>
    <t>Cash Flow After Debt Repayment</t>
  </si>
  <si>
    <t>Ending Cash</t>
  </si>
  <si>
    <t>FCF Margin</t>
  </si>
  <si>
    <t>Source / note</t>
  </si>
  <si>
    <t>Historical from S-1</t>
  </si>
  <si>
    <t>Forecast: CFO less capex</t>
  </si>
  <si>
    <t>Relative Valuation &amp; IPO Price Range</t>
  </si>
  <si>
    <t>Peer</t>
  </si>
  <si>
    <t>Category</t>
  </si>
  <si>
    <t>EV/Revenue</t>
  </si>
  <si>
    <t>EV/EBITDA</t>
  </si>
  <si>
    <t>Notes</t>
  </si>
  <si>
    <t>AppFolio</t>
  </si>
  <si>
    <t>Property management SaaS</t>
  </si>
  <si>
    <t>Closest public comp; update with live market data</t>
  </si>
  <si>
    <t>Procore</t>
  </si>
  <si>
    <t>Vertical SaaS</t>
  </si>
  <si>
    <t>Construction software vertical SaaS</t>
  </si>
  <si>
    <t>Guidewire</t>
  </si>
  <si>
    <t>Insurance vertical SaaS</t>
  </si>
  <si>
    <t>Enterprise vertical software</t>
  </si>
  <si>
    <t>Workiva</t>
  </si>
  <si>
    <t>Cloud compliance software</t>
  </si>
  <si>
    <t>Recurring revenue SaaS</t>
  </si>
  <si>
    <t>BlackLine</t>
  </si>
  <si>
    <t>Financial SaaS</t>
  </si>
  <si>
    <t>Mature SaaS comp</t>
  </si>
  <si>
    <t>Median</t>
  </si>
  <si>
    <t>Peer median used to frame base case</t>
  </si>
  <si>
    <t>Scenario</t>
  </si>
  <si>
    <t>EV/Revenue Multiple</t>
  </si>
  <si>
    <t>2026E Revenue</t>
  </si>
  <si>
    <t>Enterprise Value</t>
  </si>
  <si>
    <t>Net Debt / (Cash)</t>
  </si>
  <si>
    <t>Equity Value</t>
  </si>
  <si>
    <t>Bear</t>
  </si>
  <si>
    <t>Base</t>
  </si>
  <si>
    <t>Bull</t>
  </si>
  <si>
    <t>Provided in case study PDF</t>
  </si>
  <si>
    <t>Target Price / Share - Base</t>
  </si>
  <si>
    <t>Equity Value / Shares</t>
  </si>
  <si>
    <t>Price per Share Sensitivity</t>
  </si>
  <si>
    <t>Revenue -10%</t>
  </si>
  <si>
    <t>Base Revenue</t>
  </si>
  <si>
    <t>Revenue +10%</t>
  </si>
  <si>
    <t>Recommended IPO Valuation Range</t>
  </si>
  <si>
    <t>Low Price / Share</t>
  </si>
  <si>
    <t>Base case minus discount for IPO execution risk</t>
  </si>
  <si>
    <t>Target Price / Share</t>
  </si>
  <si>
    <t>Base case target</t>
  </si>
  <si>
    <t>High Price / Share</t>
  </si>
  <si>
    <t>Bullish scenario with stronger ARPU/AI uptake</t>
  </si>
  <si>
    <t>Implied EV/Revenue at Target</t>
  </si>
  <si>
    <t>Target price × shares + net debt / 2026E revenue</t>
  </si>
  <si>
    <t>Investment View</t>
  </si>
  <si>
    <t>Subscribe / Positive</t>
  </si>
  <si>
    <t>Attractive vertical SaaS IPO with strong unit/ARPU growth and margin expansion</t>
  </si>
  <si>
    <t>ENTRATA IPO VALUATION DASHBOARD</t>
  </si>
  <si>
    <t>Scenario Selector</t>
  </si>
  <si>
    <t>Target</t>
  </si>
  <si>
    <t>Selected Price</t>
  </si>
  <si>
    <t>Use the dropdown in B5 to switch Low / Target / High pricing.</t>
  </si>
  <si>
    <t>2025 Revenue
$509.3M</t>
  </si>
  <si>
    <t>2025 Revenue Growth
23.6%</t>
  </si>
  <si>
    <t>2025 Gross Margin
60.1%</t>
  </si>
  <si>
    <t>2025 Operating Margin
16.2%</t>
  </si>
  <si>
    <t>Target Price
$24</t>
  </si>
  <si>
    <t>IPO Range
$22 - $26</t>
  </si>
  <si>
    <t>2026E Revenue
$611.4M</t>
  </si>
  <si>
    <t>2026E Revenue Growth
20.0%</t>
  </si>
  <si>
    <t>2025 Units
2.44M</t>
  </si>
  <si>
    <t>2025 ARPU
$209.0</t>
  </si>
  <si>
    <t>Base EV/Revenue
8.5x</t>
  </si>
  <si>
    <t>Recommendation
SUBSCRIBE</t>
  </si>
  <si>
    <t>Historical &amp; Forecast Operating Metrics</t>
  </si>
  <si>
    <t>Valuation Summary &amp; Interactive Scenario</t>
  </si>
  <si>
    <t>Year</t>
  </si>
  <si>
    <t>ARPU</t>
  </si>
  <si>
    <t>Implied EV/Revenue</t>
  </si>
  <si>
    <t>Price / Share</t>
  </si>
  <si>
    <t>Metric</t>
  </si>
  <si>
    <t>Value</t>
  </si>
  <si>
    <t>Comment</t>
  </si>
  <si>
    <t>Low</t>
  </si>
  <si>
    <t>Post-IPO shares (M)</t>
  </si>
  <si>
    <t>Case study input</t>
  </si>
  <si>
    <t>KPI-driven forecast</t>
  </si>
  <si>
    <t>High</t>
  </si>
  <si>
    <t>Peer median EV/Revenue</t>
  </si>
  <si>
    <t>Relative valuation</t>
  </si>
  <si>
    <t>Selected</t>
  </si>
  <si>
    <t>Recommendation</t>
  </si>
  <si>
    <t>SUBSCRIBE</t>
  </si>
  <si>
    <t>Positive / Subscribe</t>
  </si>
  <si>
    <t>Investment Thesis</t>
  </si>
  <si>
    <t>Recommendation
SUBSCRIBE
Target Price: $24
IPO Range: $22 - $26</t>
  </si>
  <si>
    <t>Key Drivers
• 20%+ 2026E revenue growth
• 97% gross retention
• Enterprise customer concentration
• Operating leverage from vertical SaaS</t>
  </si>
  <si>
    <t>Key Risks
• Competition
• Payments exposure
• Customer expansion risk
• Controlled-company governance</t>
  </si>
  <si>
    <t>Units (M)</t>
  </si>
  <si>
    <t>Investment Thesis Driver</t>
  </si>
  <si>
    <t>Weight</t>
  </si>
  <si>
    <t>Margin Expansion</t>
  </si>
  <si>
    <t>Retention</t>
  </si>
  <si>
    <t>AI Opportunity</t>
  </si>
  <si>
    <t xml:space="preserve">  Case Study: IPO Valuation  |  Units: $mm except per-share, multiples, units and ARPU</t>
  </si>
  <si>
    <t>Units &amp; ARPU Growth Index Table</t>
  </si>
  <si>
    <t>Units Index</t>
  </si>
  <si>
    <t>ARPU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</si>
</sst>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;[Red]\(0.0%\);\-"/>
    <numFmt numFmtId="165" formatCode="#,##0.0;[Red]\(#,##0.0\);\-"/>
    <numFmt numFmtId="166" formatCode="0.0\x;[Red]\(0.0\x\);\-"/>
    <numFmt numFmtId="167" formatCode="#,##0;[Red]\(#,##0\);\-"/>
    <numFmt numFmtId="168" formatCode="\$#,##0.0;[Red]\(\$#,##0.0\);\-"/>
    <numFmt numFmtId="169" formatCode="\$#,##0.0;[Red]\(\$#,##0.0\);\-;@"/>
    <numFmt numFmtId="170" formatCode="\$#,##0;[Red]\(\$#,##0\);\-"/>
    <numFmt numFmtId="171" formatCode="\$#,##0.0"/>
    <numFmt numFmtId="172" formatCode="0.0"/>
    <numFmt numFmtId="173" formatCode="0.0%"/>
    <numFmt numFmtId="174" formatCode="0.0\x"/>
    <numFmt numFmtId="175" formatCode="\$#,##0"/>
    <numFmt numFmtId="176" formatCode="\$0"/>
  </numFmts>
  <fonts count="23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rgb="FF0000FF"/>
      <name val="Carlito"/>
    </font>
    <font>
      <sz val="11"/>
      <name val="Carlito"/>
    </font>
    <font>
      <sz val="11"/>
      <color rgb="FF000000"/>
      <name val="Carlito"/>
    </font>
    <font>
      <sz val="11"/>
      <name val="Carlito"/>
    </font>
    <font>
      <i/>
      <sz val="9"/>
      <color rgb="FF444444"/>
      <name val="Carlito"/>
    </font>
    <font>
      <b/>
      <sz val="20"/>
      <color rgb="FFFFFFFF"/>
      <name val="Calibri"/>
      <family val="2"/>
    </font>
    <font>
      <sz val="10"/>
      <color rgb="FF1F1F1F"/>
      <name val="Calibri"/>
      <family val="2"/>
    </font>
    <font>
      <sz val="11"/>
      <name val="Calibri"/>
      <family val="2"/>
    </font>
    <font>
      <b/>
      <sz val="11"/>
      <color rgb="FF17365D"/>
      <name val="Calibri"/>
      <family val="2"/>
    </font>
    <font>
      <b/>
      <sz val="11"/>
      <color rgb="FF0000FF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2"/>
      <color rgb="FF17365D"/>
      <name val="Calibri"/>
      <family val="2"/>
    </font>
    <font>
      <b/>
      <sz val="11"/>
      <color rgb="FFFFFFFF"/>
      <name val="Calibri"/>
      <family val="2"/>
    </font>
    <font>
      <i/>
      <sz val="9"/>
      <color rgb="FF444444"/>
      <name val="Calibri"/>
      <family val="2"/>
    </font>
    <font>
      <b/>
      <sz val="10"/>
      <color rgb="FF1F1F1F"/>
      <name val="Calibri"/>
      <family val="2"/>
    </font>
    <font>
      <sz val="10"/>
      <color rgb="FF1F1F1F"/>
      <name val="Calibri"/>
      <family val="2"/>
    </font>
    <font>
      <b/>
      <sz val="13.5"/>
      <name val="Carlito"/>
    </font>
  </fonts>
  <fills count="2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B7DEE8"/>
      </patternFill>
    </fill>
    <fill>
      <patternFill patternType="solid">
        <fgColor rgb="FFD9EAF7"/>
      </patternFill>
    </fill>
    <fill>
      <patternFill patternType="solid">
        <fgColor rgb="FF0B1F33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A"/>
      </patternFill>
    </fill>
    <fill>
      <patternFill patternType="solid">
        <fgColor rgb="FFF8FB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3" borderId="0" xfId="0" applyFont="1" applyFill="1"/>
    <xf numFmtId="0" fontId="0" fillId="4" borderId="0" xfId="0" applyFill="1"/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4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164" fontId="5" fillId="6" borderId="0" xfId="0" applyNumberFormat="1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6" fontId="5" fillId="0" borderId="0" xfId="0" applyNumberFormat="1" applyFont="1" applyAlignment="1">
      <alignment horizontal="center"/>
    </xf>
    <xf numFmtId="0" fontId="3" fillId="8" borderId="0" xfId="0" applyFont="1" applyFill="1" applyAlignment="1">
      <alignment horizontal="center" vertical="center" wrapText="1"/>
    </xf>
    <xf numFmtId="0" fontId="0" fillId="0" borderId="0" xfId="0" applyAlignment="1">
      <alignment horizontal="left" wrapText="1"/>
    </xf>
    <xf numFmtId="164" fontId="5" fillId="6" borderId="0" xfId="0" applyNumberFormat="1" applyFont="1" applyFill="1" applyAlignment="1">
      <alignment horizontal="center" wrapText="1"/>
    </xf>
    <xf numFmtId="0" fontId="5" fillId="0" borderId="0" xfId="0" applyFont="1" applyAlignment="1">
      <alignment wrapText="1"/>
    </xf>
    <xf numFmtId="168" fontId="5" fillId="6" borderId="0" xfId="0" applyNumberFormat="1" applyFont="1" applyFill="1" applyAlignment="1">
      <alignment horizontal="center"/>
    </xf>
    <xf numFmtId="0" fontId="0" fillId="9" borderId="0" xfId="0" applyFill="1" applyAlignment="1">
      <alignment horizontal="left" wrapText="1"/>
    </xf>
    <xf numFmtId="166" fontId="5" fillId="9" borderId="0" xfId="0" applyNumberFormat="1" applyFont="1" applyFill="1" applyAlignment="1">
      <alignment horizontal="center" wrapText="1"/>
    </xf>
    <xf numFmtId="0" fontId="0" fillId="9" borderId="0" xfId="0" applyFill="1" applyAlignment="1">
      <alignment wrapText="1"/>
    </xf>
    <xf numFmtId="165" fontId="5" fillId="9" borderId="0" xfId="0" applyNumberFormat="1" applyFont="1" applyFill="1" applyAlignment="1">
      <alignment wrapText="1"/>
    </xf>
    <xf numFmtId="0" fontId="8" fillId="0" borderId="0" xfId="0" applyFont="1"/>
    <xf numFmtId="164" fontId="7" fillId="0" borderId="0" xfId="0" applyNumberFormat="1" applyFont="1"/>
    <xf numFmtId="164" fontId="5" fillId="0" borderId="0" xfId="0" applyNumberFormat="1" applyFont="1"/>
    <xf numFmtId="169" fontId="5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0" fontId="2" fillId="10" borderId="0" xfId="0" applyFont="1" applyFill="1" applyAlignment="1">
      <alignment horizontal="center"/>
    </xf>
    <xf numFmtId="164" fontId="2" fillId="10" borderId="0" xfId="0" applyNumberFormat="1" applyFont="1" applyFill="1" applyAlignment="1">
      <alignment horizontal="center"/>
    </xf>
    <xf numFmtId="166" fontId="3" fillId="8" borderId="0" xfId="0" applyNumberFormat="1" applyFont="1" applyFill="1" applyAlignment="1">
      <alignment horizontal="center" vertical="center" wrapText="1"/>
    </xf>
    <xf numFmtId="166" fontId="0" fillId="0" borderId="0" xfId="0" applyNumberFormat="1"/>
    <xf numFmtId="168" fontId="0" fillId="0" borderId="0" xfId="0" applyNumberFormat="1" applyAlignment="1">
      <alignment horizontal="center"/>
    </xf>
    <xf numFmtId="168" fontId="3" fillId="8" borderId="0" xfId="0" applyNumberFormat="1" applyFont="1" applyFill="1" applyAlignment="1">
      <alignment horizontal="center" vertical="center" wrapText="1"/>
    </xf>
    <xf numFmtId="170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3" fillId="11" borderId="0" xfId="0" applyFont="1" applyFill="1"/>
    <xf numFmtId="171" fontId="0" fillId="0" borderId="0" xfId="0" applyNumberFormat="1"/>
    <xf numFmtId="173" fontId="0" fillId="0" borderId="0" xfId="0" applyNumberFormat="1"/>
    <xf numFmtId="174" fontId="0" fillId="0" borderId="0" xfId="0" applyNumberFormat="1"/>
    <xf numFmtId="9" fontId="0" fillId="0" borderId="0" xfId="0" applyNumberFormat="1"/>
    <xf numFmtId="0" fontId="12" fillId="0" borderId="0" xfId="0" applyFont="1"/>
    <xf numFmtId="0" fontId="13" fillId="0" borderId="0" xfId="0" applyFont="1"/>
    <xf numFmtId="0" fontId="14" fillId="14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175" fontId="15" fillId="15" borderId="0" xfId="0" applyNumberFormat="1" applyFont="1" applyFill="1" applyAlignment="1">
      <alignment horizontal="center"/>
    </xf>
    <xf numFmtId="0" fontId="15" fillId="13" borderId="0" xfId="0" applyFont="1" applyFill="1"/>
    <xf numFmtId="171" fontId="12" fillId="0" borderId="0" xfId="0" applyNumberFormat="1" applyFont="1"/>
    <xf numFmtId="173" fontId="12" fillId="0" borderId="0" xfId="0" applyNumberFormat="1" applyFont="1"/>
    <xf numFmtId="3" fontId="12" fillId="0" borderId="0" xfId="0" applyNumberFormat="1" applyFont="1"/>
    <xf numFmtId="174" fontId="12" fillId="0" borderId="0" xfId="0" applyNumberFormat="1" applyFont="1"/>
    <xf numFmtId="172" fontId="12" fillId="0" borderId="0" xfId="0" applyNumberFormat="1" applyFont="1"/>
    <xf numFmtId="0" fontId="15" fillId="15" borderId="0" xfId="0" applyFont="1" applyFill="1"/>
    <xf numFmtId="174" fontId="15" fillId="15" borderId="0" xfId="0" applyNumberFormat="1" applyFont="1" applyFill="1"/>
    <xf numFmtId="176" fontId="12" fillId="0" borderId="0" xfId="0" applyNumberFormat="1" applyFont="1"/>
    <xf numFmtId="176" fontId="15" fillId="15" borderId="0" xfId="0" applyNumberFormat="1" applyFont="1" applyFill="1"/>
    <xf numFmtId="176" fontId="0" fillId="0" borderId="0" xfId="0" applyNumberFormat="1"/>
    <xf numFmtId="2" fontId="0" fillId="0" borderId="0" xfId="0" applyNumberFormat="1"/>
    <xf numFmtId="0" fontId="2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2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/>
    </xf>
    <xf numFmtId="0" fontId="17" fillId="16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/>
    </xf>
    <xf numFmtId="0" fontId="9" fillId="18" borderId="0" xfId="0" applyFont="1" applyFill="1" applyAlignment="1">
      <alignment wrapText="1"/>
    </xf>
    <xf numFmtId="0" fontId="18" fillId="12" borderId="0" xfId="0" applyFont="1" applyFill="1"/>
    <xf numFmtId="0" fontId="19" fillId="19" borderId="0" xfId="0" applyFont="1" applyFill="1" applyAlignment="1">
      <alignment wrapText="1"/>
    </xf>
    <xf numFmtId="0" fontId="16" fillId="0" borderId="0" xfId="0" applyFont="1" applyAlignment="1">
      <alignment horizontal="left"/>
    </xf>
    <xf numFmtId="0" fontId="20" fillId="17" borderId="0" xfId="0" applyFont="1" applyFill="1" applyAlignment="1">
      <alignment horizontal="left" vertical="top" wrapText="1"/>
    </xf>
    <xf numFmtId="0" fontId="21" fillId="17" borderId="0" xfId="0" applyFont="1" applyFill="1" applyAlignment="1">
      <alignment horizontal="left" vertical="top" wrapText="1"/>
    </xf>
    <xf numFmtId="0" fontId="17" fillId="15" borderId="0" xfId="0" applyFont="1" applyFill="1" applyAlignment="1">
      <alignment horizontal="center" vertical="center" wrapText="1"/>
    </xf>
    <xf numFmtId="175" fontId="17" fillId="15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Revenue Growth Forecast ($M)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5"/>
              <c:pt idx="0">
                <c:v>2024A</c:v>
              </c:pt>
              <c:pt idx="1">
                <c:v>2025A</c:v>
              </c:pt>
              <c:pt idx="2">
                <c:v>2026E</c:v>
              </c:pt>
              <c:pt idx="3">
                <c:v>2027E</c:v>
              </c:pt>
              <c:pt idx="4">
                <c:v>2028E</c:v>
              </c:pt>
            </c:strLit>
          </c:cat>
          <c:val>
            <c:numLit>
              <c:formatCode>\$0.0</c:formatCode>
              <c:ptCount val="5"/>
              <c:pt idx="0">
                <c:v>412</c:v>
              </c:pt>
              <c:pt idx="1">
                <c:v>509.3</c:v>
              </c:pt>
              <c:pt idx="2">
                <c:v>611.4</c:v>
              </c:pt>
              <c:pt idx="3">
                <c:v>719.4</c:v>
              </c:pt>
              <c:pt idx="4">
                <c:v>830.8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E24-4FEF-A877-C72CB895FC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\$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Investment Thesis Drivers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v>Weight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974-444A-9830-B9987242B7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974-444A-9830-B9987242B7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974-444A-9830-B9987242B7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974-444A-9830-B9987242B7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Revenue Growth</c:v>
              </c:pt>
              <c:pt idx="1">
                <c:v>Margin Expansion</c:v>
              </c:pt>
              <c:pt idx="2">
                <c:v>Retention</c:v>
              </c:pt>
              <c:pt idx="3">
                <c:v>AI Opportunity</c:v>
              </c:pt>
            </c:strLit>
          </c:cat>
          <c:val>
            <c:numLit>
              <c:formatCode>0%</c:formatCode>
              <c:ptCount val="4"/>
              <c:pt idx="0">
                <c:v>35</c:v>
              </c:pt>
              <c:pt idx="1">
                <c:v>25</c:v>
              </c:pt>
              <c:pt idx="2">
                <c:v>20</c:v>
              </c:pt>
              <c:pt idx="3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0-F9C9-4203-82FA-88F2EC02376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Chart_Data!$C$8</c:f>
              <c:strCache>
                <c:ptCount val="1"/>
                <c:pt idx="0">
                  <c:v>Price / 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Chart_Data!$A$9:$A$11</c:f>
              <c:strCache>
                <c:ptCount val="3"/>
                <c:pt idx="0">
                  <c:v>Low</c:v>
                </c:pt>
                <c:pt idx="1">
                  <c:v>Target</c:v>
                </c:pt>
                <c:pt idx="2">
                  <c:v>High</c:v>
                </c:pt>
              </c:strCache>
            </c:strRef>
          </c:cat>
          <c:val>
            <c:numRef>
              <c:f>Chart_Data!$C$9:$C$11</c:f>
              <c:numCache>
                <c:formatCode>\$0</c:formatCode>
                <c:ptCount val="3"/>
                <c:pt idx="0">
                  <c:v>22</c:v>
                </c:pt>
                <c:pt idx="1">
                  <c:v>24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E-4D66-91D0-FF6F7DC00C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518111"/>
        <c:axId val="1848524351"/>
      </c:barChart>
      <c:catAx>
        <c:axId val="184851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524351"/>
        <c:crosses val="autoZero"/>
        <c:auto val="1"/>
        <c:lblAlgn val="ctr"/>
        <c:lblOffset val="100"/>
        <c:noMultiLvlLbl val="0"/>
      </c:catAx>
      <c:valAx>
        <c:axId val="1848524351"/>
        <c:scaling>
          <c:orientation val="minMax"/>
        </c:scaling>
        <c:delete val="0"/>
        <c:axPos val="l"/>
        <c:numFmt formatCode="\$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51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 dirty="0"/>
              <a:t>Gross Margin vs Operating Margin</a:t>
            </a:r>
          </a:p>
        </c:rich>
      </c:tx>
      <c:layout>
        <c:manualLayout>
          <c:xMode val="edge"/>
          <c:yMode val="edge"/>
          <c:x val="0.2591282051282051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47223904704219E-2"/>
          <c:y val="0.18560185185185185"/>
          <c:w val="0.87632263274782962"/>
          <c:h val="0.6010954359871683"/>
        </c:manualLayout>
      </c:layout>
      <c:lineChart>
        <c:grouping val="standard"/>
        <c:varyColors val="0"/>
        <c:ser>
          <c:idx val="0"/>
          <c:order val="0"/>
          <c:tx>
            <c:strRef>
              <c:f>Chart_Data!$E$1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Chart_Data!$E$2:$E$6</c:f>
              <c:numCache>
                <c:formatCode>0.0%</c:formatCode>
                <c:ptCount val="5"/>
                <c:pt idx="0">
                  <c:v>0.55500000000000005</c:v>
                </c:pt>
                <c:pt idx="1">
                  <c:v>0.60099999999999998</c:v>
                </c:pt>
                <c:pt idx="2">
                  <c:v>0.63</c:v>
                </c:pt>
                <c:pt idx="3">
                  <c:v>0.64</c:v>
                </c:pt>
                <c:pt idx="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01-4A11-BAAF-690E80D5E660}"/>
            </c:ext>
          </c:extLst>
        </c:ser>
        <c:ser>
          <c:idx val="1"/>
          <c:order val="1"/>
          <c:tx>
            <c:strRef>
              <c:f>Chart_Data!$F$1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Chart_Data!$F$2:$F$6</c:f>
              <c:numCache>
                <c:formatCode>0.0%</c:formatCode>
                <c:ptCount val="5"/>
                <c:pt idx="0">
                  <c:v>0.128</c:v>
                </c:pt>
                <c:pt idx="1">
                  <c:v>0.16200000000000001</c:v>
                </c:pt>
                <c:pt idx="2">
                  <c:v>0.26</c:v>
                </c:pt>
                <c:pt idx="3">
                  <c:v>0.28999999999999998</c:v>
                </c:pt>
                <c:pt idx="4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01-4A11-BAAF-690E80D5E6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50776591"/>
        <c:axId val="1950767951"/>
      </c:lineChart>
      <c:catAx>
        <c:axId val="195077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767951"/>
        <c:crosses val="autoZero"/>
        <c:auto val="1"/>
        <c:lblAlgn val="ctr"/>
        <c:lblOffset val="100"/>
        <c:noMultiLvlLbl val="0"/>
      </c:catAx>
      <c:valAx>
        <c:axId val="195076795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77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Units &amp; ARPU Growth Index (2024A = 100</a:t>
            </a:r>
            <a:endParaRPr lang="en-I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Chart_Data!$F$9:$F$10</c:f>
              <c:strCache>
                <c:ptCount val="2"/>
                <c:pt idx="1">
                  <c:v>Units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Chart_Data!$E$11:$E$15</c:f>
              <c:strCache>
                <c:ptCount val="5"/>
                <c:pt idx="0">
                  <c:v>2024A</c:v>
                </c:pt>
                <c:pt idx="1">
                  <c:v>2025A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</c:strCache>
            </c:strRef>
          </c:cat>
          <c:val>
            <c:numRef>
              <c:f>Chart_Data!$F$11:$F$15</c:f>
              <c:numCache>
                <c:formatCode>0.0</c:formatCode>
                <c:ptCount val="5"/>
                <c:pt idx="0" formatCode="General">
                  <c:v>100</c:v>
                </c:pt>
                <c:pt idx="1">
                  <c:v>114.79717711859546</c:v>
                </c:pt>
                <c:pt idx="2">
                  <c:v>128.57283837282688</c:v>
                </c:pt>
                <c:pt idx="3">
                  <c:v>142.7158505938379</c:v>
                </c:pt>
                <c:pt idx="4">
                  <c:v>156.9874356532217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58-4D34-A5E1-912D5594FA4C}"/>
            </c:ext>
          </c:extLst>
        </c:ser>
        <c:ser>
          <c:idx val="1"/>
          <c:order val="1"/>
          <c:tx>
            <c:strRef>
              <c:f>Chart_Data!$G$9:$G$10</c:f>
              <c:strCache>
                <c:ptCount val="2"/>
                <c:pt idx="1">
                  <c:v>ARPU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Chart_Data!$E$11:$E$15</c:f>
              <c:strCache>
                <c:ptCount val="5"/>
                <c:pt idx="0">
                  <c:v>2024A</c:v>
                </c:pt>
                <c:pt idx="1">
                  <c:v>2025A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</c:strCache>
            </c:strRef>
          </c:cat>
          <c:val>
            <c:numRef>
              <c:f>Chart_Data!$G$11:$G$15</c:f>
              <c:numCache>
                <c:formatCode>0.0</c:formatCode>
                <c:ptCount val="5"/>
                <c:pt idx="0" formatCode="General">
                  <c:v>100</c:v>
                </c:pt>
                <c:pt idx="1">
                  <c:v>107.73195876288659</c:v>
                </c:pt>
                <c:pt idx="2">
                  <c:v>115.27319587628868</c:v>
                </c:pt>
                <c:pt idx="3">
                  <c:v>122.18958762886598</c:v>
                </c:pt>
                <c:pt idx="4">
                  <c:v>128.29906701030927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58-4D34-A5E1-912D5594FA4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70894607"/>
        <c:axId val="1970895567"/>
      </c:lineChart>
      <c:catAx>
        <c:axId val="197089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895567"/>
        <c:crosses val="autoZero"/>
        <c:auto val="1"/>
        <c:lblAlgn val="ctr"/>
        <c:lblOffset val="100"/>
        <c:noMultiLvlLbl val="0"/>
      </c:catAx>
      <c:valAx>
        <c:axId val="197089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89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495300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47</xdr:row>
      <xdr:rowOff>0</xdr:rowOff>
    </xdr:from>
    <xdr:ext cx="2857500" cy="2857500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7</xdr:col>
      <xdr:colOff>0</xdr:colOff>
      <xdr:row>47</xdr:row>
      <xdr:rowOff>7620</xdr:rowOff>
    </xdr:from>
    <xdr:to>
      <xdr:col>9</xdr:col>
      <xdr:colOff>1043940</xdr:colOff>
      <xdr:row>63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F9995D-35FD-453A-A2EB-ABBA68F93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4</xdr:col>
      <xdr:colOff>381000</xdr:colOff>
      <xdr:row>62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62BD56-DB10-4E1F-AA5D-E3DFE4DA1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12</xdr:col>
      <xdr:colOff>457200</xdr:colOff>
      <xdr:row>45</xdr:row>
      <xdr:rowOff>53340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8EAA31-5F2E-44B7-A734-4D401171C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tabSelected="1" workbookViewId="0">
      <selection activeCell="C5" sqref="C5"/>
    </sheetView>
  </sheetViews>
  <sheetFormatPr defaultRowHeight="13.8"/>
  <cols>
    <col min="1" max="26" width="18" customWidth="1"/>
  </cols>
  <sheetData>
    <row r="2" spans="2:8" ht="21">
      <c r="B2" s="71" t="s">
        <v>0</v>
      </c>
      <c r="C2" s="71"/>
      <c r="D2" s="71"/>
      <c r="E2" s="71"/>
      <c r="F2" s="71"/>
      <c r="G2" s="71"/>
      <c r="H2" s="71"/>
    </row>
    <row r="4" spans="2:8">
      <c r="B4" s="1" t="s">
        <v>1</v>
      </c>
      <c r="C4" s="2" t="s">
        <v>2</v>
      </c>
    </row>
    <row r="5" spans="2:8">
      <c r="B5" s="1" t="s">
        <v>3</v>
      </c>
      <c r="C5" s="2" t="s">
        <v>4</v>
      </c>
    </row>
    <row r="6" spans="2:8">
      <c r="B6" s="1" t="s">
        <v>5</v>
      </c>
      <c r="C6" s="2" t="s">
        <v>6</v>
      </c>
    </row>
    <row r="7" spans="2:8">
      <c r="B7" s="1" t="s">
        <v>7</v>
      </c>
      <c r="C7" s="2" t="s">
        <v>8</v>
      </c>
    </row>
    <row r="8" spans="2:8">
      <c r="B8" s="1" t="s">
        <v>9</v>
      </c>
      <c r="C8" s="2" t="s">
        <v>10</v>
      </c>
    </row>
    <row r="10" spans="2:8">
      <c r="B10" s="3" t="s">
        <v>11</v>
      </c>
      <c r="C10" s="3"/>
      <c r="D10" s="3"/>
      <c r="E10" s="3"/>
      <c r="F10" s="3"/>
      <c r="G10" s="3"/>
      <c r="H10" s="3"/>
    </row>
    <row r="11" spans="2:8">
      <c r="B11" s="4" t="s">
        <v>12</v>
      </c>
      <c r="C11" s="4" t="s">
        <v>13</v>
      </c>
      <c r="D11" s="4"/>
      <c r="E11" s="4" t="s">
        <v>14</v>
      </c>
      <c r="F11" s="4" t="s">
        <v>15</v>
      </c>
      <c r="G11" s="4"/>
      <c r="H11" s="4"/>
    </row>
    <row r="12" spans="2:8" ht="27.6">
      <c r="B12" s="4" t="s">
        <v>16</v>
      </c>
      <c r="C12" s="4" t="s">
        <v>17</v>
      </c>
      <c r="D12" s="4"/>
      <c r="E12" s="4" t="s">
        <v>18</v>
      </c>
      <c r="F12" s="4" t="s">
        <v>19</v>
      </c>
      <c r="G12" s="4"/>
      <c r="H12" s="4"/>
    </row>
    <row r="13" spans="2:8" ht="27.6">
      <c r="B13" s="4" t="s">
        <v>20</v>
      </c>
      <c r="C13" s="4" t="s">
        <v>21</v>
      </c>
      <c r="D13" s="4"/>
      <c r="E13" s="4" t="s">
        <v>22</v>
      </c>
      <c r="F13" s="4" t="s">
        <v>23</v>
      </c>
      <c r="G13" s="4"/>
      <c r="H13" s="4"/>
    </row>
    <row r="14" spans="2:8" ht="69">
      <c r="B14" s="4" t="s">
        <v>24</v>
      </c>
      <c r="C14" s="4" t="s">
        <v>25</v>
      </c>
      <c r="D14" s="4"/>
      <c r="E14" s="4"/>
      <c r="F14" s="4"/>
      <c r="G14" s="4"/>
      <c r="H14" s="4"/>
    </row>
    <row r="15" spans="2:8" ht="55.2">
      <c r="B15" s="4" t="s">
        <v>26</v>
      </c>
      <c r="C15" s="4" t="s">
        <v>27</v>
      </c>
      <c r="D15" s="4"/>
      <c r="E15" s="4"/>
      <c r="F15" s="4"/>
      <c r="G15" s="4"/>
      <c r="H15" s="4"/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B6" sqref="B6"/>
    </sheetView>
  </sheetViews>
  <sheetFormatPr defaultRowHeight="13.8"/>
  <cols>
    <col min="1" max="1" width="40.19921875" customWidth="1"/>
    <col min="2" max="2" width="8.3984375" style="8" customWidth="1"/>
    <col min="3" max="3" width="7.796875" customWidth="1"/>
    <col min="4" max="6" width="8.8984375" customWidth="1"/>
    <col min="7" max="26" width="18" customWidth="1"/>
  </cols>
  <sheetData>
    <row r="1" spans="1:6" ht="21">
      <c r="A1" s="72" t="s">
        <v>28</v>
      </c>
      <c r="B1" s="72"/>
      <c r="C1" s="72"/>
      <c r="D1" s="72"/>
      <c r="E1" s="72"/>
      <c r="F1" s="72"/>
    </row>
    <row r="3" spans="1:6">
      <c r="A3" s="23" t="s">
        <v>29</v>
      </c>
      <c r="B3" s="23" t="s">
        <v>30</v>
      </c>
      <c r="C3" s="23" t="s">
        <v>31</v>
      </c>
      <c r="D3" s="23" t="s">
        <v>32</v>
      </c>
      <c r="E3" s="23" t="s">
        <v>33</v>
      </c>
      <c r="F3" s="23" t="s">
        <v>34</v>
      </c>
    </row>
    <row r="4" spans="1:6">
      <c r="A4" s="6" t="s">
        <v>35</v>
      </c>
      <c r="B4" s="9"/>
      <c r="C4" s="9">
        <v>0.14799999999999999</v>
      </c>
      <c r="D4" s="9">
        <v>0.12</v>
      </c>
      <c r="E4" s="9">
        <v>0.11</v>
      </c>
      <c r="F4" s="9">
        <v>0.1</v>
      </c>
    </row>
    <row r="5" spans="1:6">
      <c r="A5" s="6" t="s">
        <v>36</v>
      </c>
      <c r="B5" s="9"/>
      <c r="C5" s="9">
        <v>7.6999999999999999E-2</v>
      </c>
      <c r="D5" s="9">
        <v>7.0000000000000007E-2</v>
      </c>
      <c r="E5" s="9">
        <v>0.06</v>
      </c>
      <c r="F5" s="9">
        <v>0.05</v>
      </c>
    </row>
    <row r="6" spans="1:6">
      <c r="A6" s="6" t="s">
        <v>37</v>
      </c>
      <c r="B6" s="9">
        <v>0.55500000000000005</v>
      </c>
      <c r="C6" s="9">
        <v>0.60099999999999998</v>
      </c>
      <c r="D6" s="9">
        <v>0.63</v>
      </c>
      <c r="E6" s="9">
        <v>0.64</v>
      </c>
      <c r="F6" s="9">
        <v>0.65</v>
      </c>
    </row>
    <row r="7" spans="1:6">
      <c r="A7" s="6" t="s">
        <v>38</v>
      </c>
      <c r="B7" s="9">
        <v>0.18</v>
      </c>
      <c r="C7" s="9">
        <v>0.16800000000000001</v>
      </c>
      <c r="D7" s="9">
        <v>0.13</v>
      </c>
      <c r="E7" s="9">
        <v>0.13</v>
      </c>
      <c r="F7" s="9">
        <v>0.12</v>
      </c>
    </row>
    <row r="8" spans="1:6">
      <c r="A8" s="6" t="s">
        <v>39</v>
      </c>
      <c r="B8" s="9">
        <v>0.14599999999999999</v>
      </c>
      <c r="C8" s="9">
        <v>0.14399999999999999</v>
      </c>
      <c r="D8" s="9">
        <v>0.13</v>
      </c>
      <c r="E8" s="9">
        <v>0.12</v>
      </c>
      <c r="F8" s="9">
        <v>0.12</v>
      </c>
    </row>
    <row r="9" spans="1:6">
      <c r="A9" s="6" t="s">
        <v>40</v>
      </c>
      <c r="B9" s="9">
        <v>0.10199999999999999</v>
      </c>
      <c r="C9" s="9">
        <v>0.127</v>
      </c>
      <c r="D9" s="9">
        <v>0.11</v>
      </c>
      <c r="E9" s="9">
        <v>0.1</v>
      </c>
      <c r="F9" s="9">
        <v>0.1</v>
      </c>
    </row>
    <row r="10" spans="1:6">
      <c r="A10" s="6" t="s">
        <v>41</v>
      </c>
      <c r="B10" s="9">
        <v>0.37</v>
      </c>
      <c r="C10" s="9">
        <v>0.154</v>
      </c>
      <c r="D10" s="9">
        <v>0.23499999999999999</v>
      </c>
      <c r="E10" s="9">
        <v>0.22</v>
      </c>
      <c r="F10" s="9">
        <v>0.22</v>
      </c>
    </row>
    <row r="11" spans="1:6">
      <c r="A11" s="6" t="s">
        <v>42</v>
      </c>
      <c r="B11" s="27">
        <v>18</v>
      </c>
      <c r="C11" s="27">
        <v>15.8</v>
      </c>
      <c r="D11" s="27">
        <v>25.6</v>
      </c>
      <c r="E11" s="27">
        <v>23</v>
      </c>
      <c r="F11" s="27">
        <v>20</v>
      </c>
    </row>
    <row r="12" spans="1:6">
      <c r="A12" s="6" t="s">
        <v>43</v>
      </c>
      <c r="B12" s="9"/>
      <c r="C12" s="9"/>
      <c r="D12" s="9">
        <v>0.05</v>
      </c>
      <c r="E12" s="9">
        <v>4.7E-2</v>
      </c>
      <c r="F12" s="9">
        <v>4.4999999999999998E-2</v>
      </c>
    </row>
    <row r="13" spans="1:6">
      <c r="A13" s="6" t="s">
        <v>44</v>
      </c>
      <c r="B13" s="9"/>
      <c r="C13" s="9"/>
      <c r="D13" s="9">
        <v>0.03</v>
      </c>
      <c r="E13" s="9">
        <v>2.8000000000000001E-2</v>
      </c>
      <c r="F13" s="9">
        <v>2.5999999999999999E-2</v>
      </c>
    </row>
    <row r="14" spans="1:6">
      <c r="A14" s="6" t="s">
        <v>45</v>
      </c>
      <c r="B14" s="9"/>
      <c r="C14" s="9"/>
      <c r="D14" s="9">
        <v>0.02</v>
      </c>
      <c r="E14" s="9">
        <v>0.02</v>
      </c>
      <c r="F14" s="9">
        <v>0.02</v>
      </c>
    </row>
    <row r="15" spans="1:6">
      <c r="A15" s="24" t="s">
        <v>46</v>
      </c>
      <c r="B15" s="25"/>
      <c r="C15" s="25"/>
      <c r="D15" s="25">
        <v>0.02</v>
      </c>
      <c r="E15" s="25">
        <v>0.02</v>
      </c>
      <c r="F15" s="25">
        <v>0.02</v>
      </c>
    </row>
    <row r="16" spans="1:6">
      <c r="A16" s="24" t="s">
        <v>47</v>
      </c>
      <c r="B16" s="25"/>
      <c r="C16" s="25">
        <v>0.21</v>
      </c>
      <c r="D16" s="25">
        <v>0.19</v>
      </c>
      <c r="E16" s="25">
        <v>0.17</v>
      </c>
      <c r="F16" s="25">
        <v>0.15</v>
      </c>
    </row>
    <row r="17" spans="1:6">
      <c r="A17" s="24" t="s">
        <v>48</v>
      </c>
      <c r="B17" s="25">
        <v>1.1499999999999999</v>
      </c>
      <c r="C17" s="25">
        <v>1.1200000000000001</v>
      </c>
      <c r="D17" s="25">
        <v>1.1000000000000001</v>
      </c>
      <c r="E17" s="25">
        <v>1.0900000000000001</v>
      </c>
      <c r="F17" s="25">
        <v>1.08</v>
      </c>
    </row>
    <row r="18" spans="1:6">
      <c r="A18" s="28" t="s">
        <v>49</v>
      </c>
      <c r="B18" s="29"/>
      <c r="C18" s="29"/>
      <c r="D18" s="29">
        <v>7</v>
      </c>
      <c r="E18" s="29"/>
      <c r="F18" s="29"/>
    </row>
    <row r="19" spans="1:6">
      <c r="A19" s="28" t="s">
        <v>50</v>
      </c>
      <c r="B19" s="29"/>
      <c r="C19" s="29"/>
      <c r="D19" s="29">
        <v>8.5</v>
      </c>
      <c r="E19" s="29"/>
      <c r="F19" s="29"/>
    </row>
    <row r="20" spans="1:6">
      <c r="A20" s="28" t="s">
        <v>51</v>
      </c>
      <c r="B20" s="29"/>
      <c r="C20" s="29"/>
      <c r="D20" s="29">
        <v>10</v>
      </c>
      <c r="E20" s="29"/>
      <c r="F20" s="29"/>
    </row>
    <row r="21" spans="1:6">
      <c r="A21" s="30" t="s">
        <v>52</v>
      </c>
      <c r="B21" s="31"/>
      <c r="C21" s="31">
        <v>205</v>
      </c>
      <c r="D21" s="31">
        <v>205</v>
      </c>
      <c r="E21" s="31">
        <v>205</v>
      </c>
      <c r="F21" s="31">
        <v>205</v>
      </c>
    </row>
    <row r="22" spans="1:6">
      <c r="A22" s="30" t="s">
        <v>53</v>
      </c>
      <c r="B22" s="31"/>
      <c r="C22" s="31">
        <v>269.69799999999998</v>
      </c>
      <c r="D22" s="31">
        <v>269.69799999999998</v>
      </c>
      <c r="E22" s="31">
        <v>269.69799999999998</v>
      </c>
      <c r="F22" s="31">
        <v>269.69799999999998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D5" sqref="D5"/>
    </sheetView>
  </sheetViews>
  <sheetFormatPr defaultRowHeight="13.8"/>
  <cols>
    <col min="1" max="1" width="29" customWidth="1"/>
    <col min="2" max="2" width="28" style="8" customWidth="1"/>
    <col min="3" max="3" width="22.296875" customWidth="1"/>
    <col min="4" max="4" width="13.09765625" customWidth="1"/>
    <col min="5" max="5" width="22.5" customWidth="1"/>
    <col min="6" max="6" width="21.3984375" customWidth="1"/>
    <col min="7" max="26" width="18" customWidth="1"/>
  </cols>
  <sheetData>
    <row r="1" spans="1:6" ht="21">
      <c r="A1" s="72" t="s">
        <v>54</v>
      </c>
      <c r="B1" s="72"/>
      <c r="C1" s="72"/>
      <c r="D1" s="72"/>
      <c r="E1" s="72"/>
      <c r="F1" s="72"/>
    </row>
    <row r="3" spans="1:6">
      <c r="A3" s="23" t="s">
        <v>55</v>
      </c>
      <c r="B3" s="23" t="s">
        <v>30</v>
      </c>
      <c r="C3" s="23" t="s">
        <v>31</v>
      </c>
      <c r="D3" s="23" t="s">
        <v>32</v>
      </c>
      <c r="E3" s="23" t="s">
        <v>33</v>
      </c>
      <c r="F3" s="23" t="s">
        <v>34</v>
      </c>
    </row>
    <row r="4" spans="1:6">
      <c r="A4" s="32" t="s">
        <v>56</v>
      </c>
      <c r="B4" s="10">
        <v>2126338</v>
      </c>
      <c r="C4" s="10">
        <v>2440976</v>
      </c>
      <c r="D4" s="14">
        <f>C4*(1+Assumptions!D4)</f>
        <v>2733893.12</v>
      </c>
      <c r="E4" s="14">
        <f>D4*(1+Assumptions!E4)</f>
        <v>3034621.3632000005</v>
      </c>
      <c r="F4" s="14">
        <f>E4*(1+Assumptions!F4)</f>
        <v>3338083.499520001</v>
      </c>
    </row>
    <row r="5" spans="1:6">
      <c r="A5" s="32" t="s">
        <v>35</v>
      </c>
      <c r="B5" s="11"/>
      <c r="C5" s="11">
        <f>C4/B4-1</f>
        <v>0.1479717711859545</v>
      </c>
      <c r="D5" s="15">
        <f>D4/C4-1</f>
        <v>0.12000000000000011</v>
      </c>
      <c r="E5" s="15">
        <f>E4/D4-1</f>
        <v>0.1100000000000001</v>
      </c>
      <c r="F5" s="15">
        <f>F4/E4-1</f>
        <v>0.10000000000000009</v>
      </c>
    </row>
    <row r="6" spans="1:6">
      <c r="A6" s="32" t="s">
        <v>57</v>
      </c>
      <c r="B6" s="12">
        <v>194</v>
      </c>
      <c r="C6" s="12">
        <v>209</v>
      </c>
      <c r="D6" s="16">
        <f>C6*(1+Assumptions!D5)</f>
        <v>223.63000000000002</v>
      </c>
      <c r="E6" s="16">
        <f>D6*(1+Assumptions!E5)</f>
        <v>237.04780000000002</v>
      </c>
      <c r="F6" s="16">
        <f>E6*(1+Assumptions!F5)</f>
        <v>248.90019000000004</v>
      </c>
    </row>
    <row r="7" spans="1:6">
      <c r="A7" s="32" t="s">
        <v>36</v>
      </c>
      <c r="B7" s="11"/>
      <c r="C7" s="11">
        <f>C6/B6-1</f>
        <v>7.7319587628865927E-2</v>
      </c>
      <c r="D7" s="15">
        <f>D6/C6-1</f>
        <v>7.0000000000000062E-2</v>
      </c>
      <c r="E7" s="15">
        <f>E6/D6-1</f>
        <v>6.0000000000000053E-2</v>
      </c>
      <c r="F7" s="15">
        <f>F6/E6-1</f>
        <v>5.0000000000000044E-2</v>
      </c>
    </row>
    <row r="8" spans="1:6">
      <c r="A8" s="32" t="s">
        <v>58</v>
      </c>
      <c r="B8" s="12">
        <v>412</v>
      </c>
      <c r="C8" s="12">
        <v>509.29500000000002</v>
      </c>
      <c r="D8" s="16">
        <f>D4*D6/1000000</f>
        <v>611.38051842560003</v>
      </c>
      <c r="E8" s="16">
        <f>E4*E6/1000000</f>
        <v>719.35031797956105</v>
      </c>
      <c r="F8" s="16">
        <f>F4*F6/1000000</f>
        <v>830.84961726639335</v>
      </c>
    </row>
    <row r="9" spans="1:6">
      <c r="A9" s="32" t="s">
        <v>59</v>
      </c>
      <c r="B9" s="11"/>
      <c r="C9" s="11">
        <f>C8/B8-1</f>
        <v>0.23615291262135929</v>
      </c>
      <c r="D9" s="15">
        <f>D8/C8-1</f>
        <v>0.20044476860287253</v>
      </c>
      <c r="E9" s="15">
        <f>E8/D8-1</f>
        <v>0.17660000000000009</v>
      </c>
      <c r="F9" s="15">
        <f>F8/E8-1</f>
        <v>0.15500000000000047</v>
      </c>
    </row>
    <row r="10" spans="1:6">
      <c r="A10" s="32" t="s">
        <v>60</v>
      </c>
      <c r="B10" s="12">
        <f>C10/(1+Assumptions!C16)</f>
        <v>442.14876033057851</v>
      </c>
      <c r="C10" s="12">
        <v>535</v>
      </c>
      <c r="D10" s="16">
        <f>C10*(1+Assumptions!D16)</f>
        <v>636.65</v>
      </c>
      <c r="E10" s="16">
        <f>D10*(1+Assumptions!E16)</f>
        <v>744.88049999999998</v>
      </c>
      <c r="F10" s="16">
        <f>E10*(1+Assumptions!F16)</f>
        <v>856.61257499999988</v>
      </c>
    </row>
    <row r="11" spans="1:6">
      <c r="A11" s="32" t="s">
        <v>47</v>
      </c>
      <c r="B11" s="11">
        <v>0.13</v>
      </c>
      <c r="C11" s="11">
        <f>C10/B10-1</f>
        <v>0.20999999999999996</v>
      </c>
      <c r="D11" s="15">
        <f>D10/C10-1</f>
        <v>0.18999999999999995</v>
      </c>
      <c r="E11" s="15">
        <f>E10/D10-1</f>
        <v>0.16999999999999993</v>
      </c>
      <c r="F11" s="15">
        <f>F10/E10-1</f>
        <v>0.14999999999999991</v>
      </c>
    </row>
    <row r="12" spans="1:6">
      <c r="A12" s="32" t="s">
        <v>61</v>
      </c>
      <c r="B12" s="11">
        <v>0.99</v>
      </c>
      <c r="C12" s="11">
        <v>0.97</v>
      </c>
      <c r="D12" s="15">
        <v>0.97</v>
      </c>
      <c r="E12" s="15">
        <v>0.97</v>
      </c>
      <c r="F12" s="15">
        <v>0.97</v>
      </c>
    </row>
    <row r="13" spans="1:6">
      <c r="A13" s="32" t="s">
        <v>48</v>
      </c>
      <c r="B13" s="11">
        <f>Assumptions!B17</f>
        <v>1.1499999999999999</v>
      </c>
      <c r="C13" s="11">
        <f>Assumptions!C17</f>
        <v>1.1200000000000001</v>
      </c>
      <c r="D13" s="15">
        <f>Assumptions!D17</f>
        <v>1.1000000000000001</v>
      </c>
      <c r="E13" s="15">
        <f>Assumptions!E17</f>
        <v>1.0900000000000001</v>
      </c>
      <c r="F13" s="15">
        <f>Assumptions!F17</f>
        <v>1.08</v>
      </c>
    </row>
    <row r="14" spans="1:6">
      <c r="A14" s="32" t="s">
        <v>62</v>
      </c>
      <c r="B14" s="10">
        <v>183</v>
      </c>
      <c r="C14" s="10">
        <v>233</v>
      </c>
      <c r="D14" s="14">
        <v>280</v>
      </c>
      <c r="E14" s="14">
        <v>326</v>
      </c>
      <c r="F14" s="14">
        <v>375</v>
      </c>
    </row>
    <row r="15" spans="1:6">
      <c r="A15" s="32" t="s">
        <v>63</v>
      </c>
      <c r="B15" s="34">
        <v>0.81</v>
      </c>
      <c r="C15" s="34">
        <v>0.84</v>
      </c>
      <c r="D15" s="33">
        <v>0.85</v>
      </c>
      <c r="E15" s="33">
        <v>0.86</v>
      </c>
      <c r="F15" s="33">
        <v>0.87</v>
      </c>
    </row>
    <row r="16" spans="1:6">
      <c r="A16" s="32" t="s">
        <v>37</v>
      </c>
      <c r="B16" s="34">
        <f>Assumptions!B6</f>
        <v>0.55500000000000005</v>
      </c>
      <c r="C16" s="34">
        <f>Assumptions!C6</f>
        <v>0.60099999999999998</v>
      </c>
      <c r="D16" s="33">
        <f>Assumptions!D6</f>
        <v>0.63</v>
      </c>
      <c r="E16" s="33">
        <f>Assumptions!E6</f>
        <v>0.64</v>
      </c>
      <c r="F16" s="33">
        <f>Assumptions!F6</f>
        <v>0.65</v>
      </c>
    </row>
    <row r="17" spans="1:6">
      <c r="A17" s="32" t="s">
        <v>64</v>
      </c>
      <c r="B17" s="34">
        <f>'Income Statement'!B15/'Income Statement'!B4</f>
        <v>0.12754368932038834</v>
      </c>
      <c r="C17" s="34">
        <f>'Income Statement'!C15/'Income Statement'!C4</f>
        <v>0.1622026526865569</v>
      </c>
      <c r="D17" s="33">
        <f>'Income Statement'!D15/'Income Statement'!D4</f>
        <v>0.26</v>
      </c>
      <c r="E17" s="33">
        <f>'Income Statement'!E15/'Income Statement'!E4</f>
        <v>0.28999999999999998</v>
      </c>
      <c r="F17" s="33">
        <f>'Income Statement'!F15/'Income Statement'!F4</f>
        <v>0.31000000000000011</v>
      </c>
    </row>
    <row r="18" spans="1:6">
      <c r="A18" s="32" t="s">
        <v>65</v>
      </c>
      <c r="B18" s="34">
        <v>0.14000000000000001</v>
      </c>
      <c r="C18" s="34">
        <v>0.23</v>
      </c>
      <c r="D18" s="33">
        <v>0.25</v>
      </c>
      <c r="E18" s="33">
        <v>0.27</v>
      </c>
      <c r="F18" s="33">
        <v>0.28999999999999998</v>
      </c>
    </row>
    <row r="19" spans="1:6">
      <c r="A19" s="32" t="s">
        <v>66</v>
      </c>
      <c r="B19" s="34">
        <f>'Cash Flow'!B12/'Income Statement'!B4</f>
        <v>0.36554368932038839</v>
      </c>
      <c r="C19" s="34">
        <f>'Cash Flow'!C12/'Income Statement'!C4</f>
        <v>-0.16917699957784782</v>
      </c>
      <c r="D19" s="33">
        <f>'Cash Flow'!D12/'Income Statement'!D4</f>
        <v>0.20717164193920815</v>
      </c>
      <c r="E19" s="33">
        <f>'Cash Flow'!E12/'Income Statement'!E4</f>
        <v>0.22545609471654035</v>
      </c>
      <c r="F19" s="33">
        <f>'Cash Flow'!F12/'Income Statement'!F4</f>
        <v>0.24726831147349829</v>
      </c>
    </row>
    <row r="20" spans="1:6" ht="27.6">
      <c r="A20" s="32" t="s">
        <v>67</v>
      </c>
      <c r="B20" s="26" t="s">
        <v>68</v>
      </c>
      <c r="C20" s="26" t="s">
        <v>69</v>
      </c>
      <c r="D20" s="4" t="s">
        <v>70</v>
      </c>
      <c r="E20" s="4" t="s">
        <v>71</v>
      </c>
      <c r="F20" s="4" t="s">
        <v>72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sqref="A1:F1"/>
    </sheetView>
  </sheetViews>
  <sheetFormatPr defaultRowHeight="13.8"/>
  <cols>
    <col min="1" max="1" width="43.09765625" customWidth="1"/>
    <col min="2" max="2" width="13.8984375" style="8" customWidth="1"/>
    <col min="3" max="3" width="17.09765625" customWidth="1"/>
    <col min="4" max="4" width="14" customWidth="1"/>
    <col min="5" max="5" width="18.5" customWidth="1"/>
    <col min="6" max="6" width="13" customWidth="1"/>
    <col min="7" max="26" width="18" customWidth="1"/>
  </cols>
  <sheetData>
    <row r="1" spans="1:6" ht="21">
      <c r="A1" s="72" t="s">
        <v>73</v>
      </c>
      <c r="B1" s="72"/>
      <c r="C1" s="72"/>
      <c r="D1" s="72"/>
      <c r="E1" s="72"/>
      <c r="F1" s="72"/>
    </row>
    <row r="3" spans="1:6">
      <c r="A3" s="23" t="s">
        <v>74</v>
      </c>
      <c r="B3" s="23" t="s">
        <v>30</v>
      </c>
      <c r="C3" s="23" t="s">
        <v>31</v>
      </c>
      <c r="D3" s="23" t="s">
        <v>32</v>
      </c>
      <c r="E3" s="23" t="s">
        <v>33</v>
      </c>
      <c r="F3" s="23" t="s">
        <v>34</v>
      </c>
    </row>
    <row r="4" spans="1:6">
      <c r="A4" t="s">
        <v>56</v>
      </c>
      <c r="B4" s="10">
        <f>'KPI Schedule'!B4</f>
        <v>2126338</v>
      </c>
      <c r="C4" s="10">
        <f>'KPI Schedule'!C4</f>
        <v>2440976</v>
      </c>
      <c r="D4" s="14">
        <f>'KPI Schedule'!D4</f>
        <v>2733893.12</v>
      </c>
      <c r="E4" s="14">
        <f>'KPI Schedule'!E4</f>
        <v>3034621.3632000005</v>
      </c>
      <c r="F4" s="14">
        <f>'KPI Schedule'!F4</f>
        <v>3338083.499520001</v>
      </c>
    </row>
    <row r="5" spans="1:6">
      <c r="A5" t="s">
        <v>35</v>
      </c>
      <c r="B5" s="11">
        <f>'KPI Schedule'!B5</f>
        <v>0</v>
      </c>
      <c r="C5" s="11">
        <f>'KPI Schedule'!C5</f>
        <v>0.1479717711859545</v>
      </c>
      <c r="D5" s="15">
        <f>'KPI Schedule'!D5</f>
        <v>0.12000000000000011</v>
      </c>
      <c r="E5" s="15">
        <f>'KPI Schedule'!E5</f>
        <v>0.1100000000000001</v>
      </c>
      <c r="F5" s="15">
        <f>'KPI Schedule'!F5</f>
        <v>0.10000000000000009</v>
      </c>
    </row>
    <row r="6" spans="1:6">
      <c r="A6" t="s">
        <v>57</v>
      </c>
      <c r="B6" s="12">
        <f>'KPI Schedule'!B6</f>
        <v>194</v>
      </c>
      <c r="C6" s="12">
        <f>'KPI Schedule'!C6</f>
        <v>209</v>
      </c>
      <c r="D6" s="16">
        <f>'KPI Schedule'!D6</f>
        <v>223.63000000000002</v>
      </c>
      <c r="E6" s="16">
        <f>'KPI Schedule'!E6</f>
        <v>237.04780000000002</v>
      </c>
      <c r="F6" s="16">
        <f>'KPI Schedule'!F6</f>
        <v>248.90019000000004</v>
      </c>
    </row>
    <row r="7" spans="1:6">
      <c r="A7" t="s">
        <v>36</v>
      </c>
      <c r="B7" s="11">
        <f>'KPI Schedule'!B7</f>
        <v>0</v>
      </c>
      <c r="C7" s="11">
        <f>'KPI Schedule'!C7</f>
        <v>7.7319587628865927E-2</v>
      </c>
      <c r="D7" s="15">
        <f>'KPI Schedule'!D7</f>
        <v>7.0000000000000062E-2</v>
      </c>
      <c r="E7" s="15">
        <f>'KPI Schedule'!E7</f>
        <v>6.0000000000000053E-2</v>
      </c>
      <c r="F7" s="15">
        <f>'KPI Schedule'!F7</f>
        <v>5.0000000000000044E-2</v>
      </c>
    </row>
    <row r="8" spans="1:6">
      <c r="A8" t="s">
        <v>75</v>
      </c>
      <c r="B8" s="35">
        <f>B4*B6/1000000</f>
        <v>412.50957199999999</v>
      </c>
      <c r="C8" s="35">
        <f>C4*C6/1000000</f>
        <v>510.16398400000003</v>
      </c>
      <c r="D8" s="36">
        <f>D4*D6/1000000</f>
        <v>611.38051842560003</v>
      </c>
      <c r="E8" s="36">
        <f>E4*E6/1000000</f>
        <v>719.35031797956105</v>
      </c>
      <c r="F8" s="36">
        <f>F4*F6/1000000</f>
        <v>830.84961726639335</v>
      </c>
    </row>
    <row r="9" spans="1:6">
      <c r="A9" t="s">
        <v>76</v>
      </c>
      <c r="B9" s="35">
        <f>'KPI Schedule'!B8</f>
        <v>412</v>
      </c>
      <c r="C9" s="35">
        <f>'KPI Schedule'!C8</f>
        <v>509.29500000000002</v>
      </c>
      <c r="D9" s="36">
        <f>'KPI Schedule'!D8</f>
        <v>611.38051842560003</v>
      </c>
      <c r="E9" s="36">
        <f>'KPI Schedule'!E8</f>
        <v>719.35031797956105</v>
      </c>
      <c r="F9" s="36">
        <f>'KPI Schedule'!F8</f>
        <v>830.84961726639335</v>
      </c>
    </row>
    <row r="10" spans="1:6">
      <c r="A10" t="s">
        <v>59</v>
      </c>
      <c r="B10" s="11">
        <f>'KPI Schedule'!B9</f>
        <v>0</v>
      </c>
      <c r="C10" s="11">
        <f>'KPI Schedule'!C9</f>
        <v>0.23615291262135929</v>
      </c>
      <c r="D10" s="15">
        <f>'KPI Schedule'!D9</f>
        <v>0.20044476860287253</v>
      </c>
      <c r="E10" s="15">
        <f>'KPI Schedule'!E9</f>
        <v>0.17660000000000009</v>
      </c>
      <c r="F10" s="15">
        <f>'KPI Schedule'!F9</f>
        <v>0.15500000000000047</v>
      </c>
    </row>
    <row r="11" spans="1:6">
      <c r="A11" s="73" t="s">
        <v>77</v>
      </c>
      <c r="B11" s="73"/>
      <c r="C11" s="73"/>
      <c r="D11" s="73"/>
      <c r="E11" s="73"/>
      <c r="F11" s="73"/>
    </row>
    <row r="12" spans="1:6">
      <c r="A12" t="s">
        <v>78</v>
      </c>
      <c r="B12" s="12">
        <v>354.70100000000002</v>
      </c>
      <c r="C12" s="12">
        <v>437.74200000000002</v>
      </c>
      <c r="D12" s="16">
        <f>C12*(1+19.5%)</f>
        <v>523.10169000000008</v>
      </c>
      <c r="E12" s="16">
        <f>D12*(1+17.8%)</f>
        <v>616.2137908200001</v>
      </c>
      <c r="F12" s="16">
        <f>E12*(1+15%)</f>
        <v>708.64585944300006</v>
      </c>
    </row>
    <row r="13" spans="1:6">
      <c r="A13" t="s">
        <v>79</v>
      </c>
      <c r="B13" s="12"/>
      <c r="C13" s="12">
        <f>C12/B12-1</f>
        <v>0.23411549445871316</v>
      </c>
      <c r="D13" s="16">
        <f>D12/C12-1</f>
        <v>0.19500000000000006</v>
      </c>
      <c r="E13" s="16">
        <f>E12/D12-1</f>
        <v>0.17799999999999994</v>
      </c>
      <c r="F13" s="16">
        <f>F12/E12-1</f>
        <v>0.14999999999999991</v>
      </c>
    </row>
    <row r="14" spans="1:6">
      <c r="A14" t="s">
        <v>80</v>
      </c>
      <c r="B14" s="12">
        <v>57.298999999999999</v>
      </c>
      <c r="C14" s="12">
        <v>71.552999999999997</v>
      </c>
      <c r="D14" s="16">
        <f>C14*(1+24%)</f>
        <v>88.725719999999995</v>
      </c>
      <c r="E14" s="16">
        <f>D14*(1+18.5%)</f>
        <v>105.1399782</v>
      </c>
      <c r="F14" s="16">
        <f>E14*(1+18%)</f>
        <v>124.06517427599999</v>
      </c>
    </row>
    <row r="15" spans="1:6">
      <c r="A15" t="s">
        <v>81</v>
      </c>
      <c r="B15" s="12"/>
      <c r="C15" s="12">
        <f>C14/B14-1</f>
        <v>0.24876524895722429</v>
      </c>
      <c r="D15" s="16">
        <f>D14/C14-1</f>
        <v>0.24</v>
      </c>
      <c r="E15" s="16">
        <f>E14/D14-1</f>
        <v>0.18500000000000005</v>
      </c>
      <c r="F15" s="16">
        <f>F14/E14-1</f>
        <v>0.17999999999999994</v>
      </c>
    </row>
    <row r="16" spans="1:6">
      <c r="A16" t="s">
        <v>82</v>
      </c>
      <c r="B16" s="12">
        <f>SUM(B12,B14)</f>
        <v>412</v>
      </c>
      <c r="C16" s="12">
        <f>SUM(C12,C14)</f>
        <v>509.29500000000002</v>
      </c>
      <c r="D16" s="16">
        <f>SUM(D12,D14)</f>
        <v>611.8274100000001</v>
      </c>
      <c r="E16" s="16">
        <f>SUM(E12,E14)</f>
        <v>721.35376902000007</v>
      </c>
      <c r="F16" s="16">
        <f>SUM(F12,F14)</f>
        <v>832.71103371900006</v>
      </c>
    </row>
    <row r="17" spans="1:6">
      <c r="A17" t="s">
        <v>83</v>
      </c>
      <c r="B17" s="12">
        <f>B12/B16</f>
        <v>0.86092475728155349</v>
      </c>
      <c r="C17" s="12">
        <f>C12/C16</f>
        <v>0.85950578741201078</v>
      </c>
      <c r="D17" s="16">
        <f>D12/D16</f>
        <v>0.85498243695881493</v>
      </c>
      <c r="E17" s="16">
        <f>E12/E16</f>
        <v>0.85424630366479049</v>
      </c>
      <c r="F17" s="16">
        <f>F12/F16</f>
        <v>0.85101053156230178</v>
      </c>
    </row>
    <row r="18" spans="1:6">
      <c r="A18" t="s">
        <v>84</v>
      </c>
      <c r="B18" s="12">
        <f>B14/B16</f>
        <v>0.1390752427184466</v>
      </c>
      <c r="C18" s="12">
        <f>C14/C16</f>
        <v>0.14049421258798928</v>
      </c>
      <c r="D18" s="16">
        <f>D14/D16</f>
        <v>0.14501756304118507</v>
      </c>
      <c r="E18" s="16">
        <f>E14/E16</f>
        <v>0.14575369633520957</v>
      </c>
      <c r="F18" s="16">
        <f>F14/F16</f>
        <v>0.1489894684376982</v>
      </c>
    </row>
  </sheetData>
  <mergeCells count="2">
    <mergeCell ref="A1:F1"/>
    <mergeCell ref="A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>
      <selection activeCell="F5" sqref="F5"/>
    </sheetView>
  </sheetViews>
  <sheetFormatPr defaultRowHeight="13.8"/>
  <cols>
    <col min="1" max="1" width="30.3984375" customWidth="1"/>
    <col min="2" max="2" width="12.3984375" style="8" customWidth="1"/>
    <col min="3" max="3" width="10" customWidth="1"/>
    <col min="4" max="4" width="11" customWidth="1"/>
    <col min="5" max="5" width="10.59765625" customWidth="1"/>
    <col min="6" max="6" width="9.3984375" customWidth="1"/>
    <col min="7" max="26" width="18" customWidth="1"/>
  </cols>
  <sheetData>
    <row r="1" spans="1:6" ht="21">
      <c r="A1" s="72" t="s">
        <v>85</v>
      </c>
      <c r="B1" s="72"/>
      <c r="C1" s="72"/>
      <c r="D1" s="72"/>
      <c r="E1" s="72"/>
      <c r="F1" s="72"/>
    </row>
    <row r="3" spans="1:6">
      <c r="A3" s="23" t="s">
        <v>86</v>
      </c>
      <c r="B3" s="23" t="s">
        <v>30</v>
      </c>
      <c r="C3" s="23" t="s">
        <v>31</v>
      </c>
      <c r="D3" s="23" t="s">
        <v>32</v>
      </c>
      <c r="E3" s="23" t="s">
        <v>33</v>
      </c>
      <c r="F3" s="23" t="s">
        <v>34</v>
      </c>
    </row>
    <row r="4" spans="1:6">
      <c r="A4" t="s">
        <v>87</v>
      </c>
      <c r="B4" s="12">
        <v>412</v>
      </c>
      <c r="C4" s="12">
        <v>509.29500000000002</v>
      </c>
      <c r="D4" s="16">
        <f>'Revenue Build'!D9</f>
        <v>611.38051842560003</v>
      </c>
      <c r="E4" s="16">
        <f>'Revenue Build'!E9</f>
        <v>719.35031797956105</v>
      </c>
      <c r="F4" s="16">
        <f>'Revenue Build'!F9</f>
        <v>830.84961726639335</v>
      </c>
    </row>
    <row r="5" spans="1:6">
      <c r="A5" t="s">
        <v>59</v>
      </c>
      <c r="B5" s="11"/>
      <c r="C5" s="11">
        <f>C4/B4-1</f>
        <v>0.23615291262135929</v>
      </c>
      <c r="D5" s="15">
        <f>D4/C4-1</f>
        <v>0.20044476860287253</v>
      </c>
      <c r="E5" s="15">
        <f>E4/D4-1</f>
        <v>0.17660000000000009</v>
      </c>
      <c r="F5" s="15">
        <f>F4/E4-1</f>
        <v>0.15500000000000047</v>
      </c>
    </row>
    <row r="6" spans="1:6">
      <c r="A6" t="s">
        <v>88</v>
      </c>
      <c r="B6" s="12">
        <v>183.27199999999999</v>
      </c>
      <c r="C6" s="12">
        <v>203.143</v>
      </c>
      <c r="D6" s="16">
        <f>D4*(1-Assumptions!D6)</f>
        <v>226.210791817472</v>
      </c>
      <c r="E6" s="16">
        <f>E4*(1-Assumptions!E6)</f>
        <v>258.96611447264195</v>
      </c>
      <c r="F6" s="16">
        <f>F4*(1-Assumptions!F6)</f>
        <v>290.79736604323767</v>
      </c>
    </row>
    <row r="7" spans="1:6">
      <c r="A7" s="7" t="s">
        <v>89</v>
      </c>
      <c r="B7" s="12">
        <v>228.72800000000001</v>
      </c>
      <c r="C7" s="12">
        <v>306.15199999999999</v>
      </c>
      <c r="D7" s="16">
        <f>D4-D6</f>
        <v>385.16972660812803</v>
      </c>
      <c r="E7" s="16">
        <f>E4-E6</f>
        <v>460.38420350691911</v>
      </c>
      <c r="F7" s="16">
        <f>F4-F6</f>
        <v>540.05225122315574</v>
      </c>
    </row>
    <row r="8" spans="1:6">
      <c r="A8" t="s">
        <v>37</v>
      </c>
      <c r="B8" s="11">
        <f>B7/B4</f>
        <v>0.55516504854368931</v>
      </c>
      <c r="C8" s="11">
        <f>C7/C4</f>
        <v>0.60112901167299893</v>
      </c>
      <c r="D8" s="15">
        <f>D7/D4</f>
        <v>0.63</v>
      </c>
      <c r="E8" s="15">
        <f>E7/E4</f>
        <v>0.64</v>
      </c>
      <c r="F8" s="15">
        <f>F7/F4</f>
        <v>0.65</v>
      </c>
    </row>
    <row r="9" spans="1:6">
      <c r="A9" t="s">
        <v>90</v>
      </c>
      <c r="B9" s="12">
        <v>74.043000000000006</v>
      </c>
      <c r="C9" s="12">
        <v>85.724999999999994</v>
      </c>
      <c r="D9" s="16">
        <f>D4*Assumptions!D7</f>
        <v>79.479467395328001</v>
      </c>
      <c r="E9" s="16">
        <f>E4*Assumptions!E7</f>
        <v>93.515541337342938</v>
      </c>
      <c r="F9" s="16">
        <f>F4*Assumptions!F7</f>
        <v>99.701954071967194</v>
      </c>
    </row>
    <row r="10" spans="1:6">
      <c r="A10" t="s">
        <v>91</v>
      </c>
      <c r="B10" s="11">
        <f>B9/B4</f>
        <v>0.17971601941747575</v>
      </c>
      <c r="C10" s="11">
        <f>C9/C4</f>
        <v>0.16832091420493034</v>
      </c>
      <c r="D10" s="15">
        <f>D9/D4</f>
        <v>0.13</v>
      </c>
      <c r="E10" s="15">
        <f>E9/E4</f>
        <v>0.13</v>
      </c>
      <c r="F10" s="15">
        <f>F9/F4</f>
        <v>0.12</v>
      </c>
    </row>
    <row r="11" spans="1:6">
      <c r="A11" t="s">
        <v>92</v>
      </c>
      <c r="B11" s="12">
        <v>60.131999999999998</v>
      </c>
      <c r="C11" s="12">
        <v>73.2</v>
      </c>
      <c r="D11" s="16">
        <f>D4*Assumptions!D8</f>
        <v>79.479467395328001</v>
      </c>
      <c r="E11" s="16">
        <f>E4*Assumptions!E8</f>
        <v>86.322038157547325</v>
      </c>
      <c r="F11" s="16">
        <f>F4*Assumptions!F8</f>
        <v>99.701954071967194</v>
      </c>
    </row>
    <row r="12" spans="1:6">
      <c r="A12" t="s">
        <v>91</v>
      </c>
      <c r="B12" s="11">
        <f>B11/B4</f>
        <v>0.1459514563106796</v>
      </c>
      <c r="C12" s="11">
        <f>C11/C4</f>
        <v>0.14372809471917061</v>
      </c>
      <c r="D12" s="15">
        <f>D11/D4</f>
        <v>0.13</v>
      </c>
      <c r="E12" s="15">
        <f>E11/E4</f>
        <v>0.12</v>
      </c>
      <c r="F12" s="15">
        <f>F11/F4</f>
        <v>0.12</v>
      </c>
    </row>
    <row r="13" spans="1:6">
      <c r="A13" t="s">
        <v>93</v>
      </c>
      <c r="B13" s="12">
        <v>42.005000000000003</v>
      </c>
      <c r="C13" s="12">
        <v>64.617999999999995</v>
      </c>
      <c r="D13" s="16">
        <f>D4*Assumptions!D9</f>
        <v>67.251857026815998</v>
      </c>
      <c r="E13" s="16">
        <f>E4*Assumptions!E9</f>
        <v>71.935031797956114</v>
      </c>
      <c r="F13" s="16">
        <f>F4*Assumptions!F9</f>
        <v>83.084961726639335</v>
      </c>
    </row>
    <row r="14" spans="1:6">
      <c r="A14" t="s">
        <v>91</v>
      </c>
      <c r="B14" s="11">
        <f>B13/B4</f>
        <v>0.10195388349514564</v>
      </c>
      <c r="C14" s="11">
        <f>C13/C4</f>
        <v>0.12687735006234108</v>
      </c>
      <c r="D14" s="15">
        <f>D13/D4</f>
        <v>0.10999999999999999</v>
      </c>
      <c r="E14" s="15">
        <f>E13/E4</f>
        <v>0.1</v>
      </c>
      <c r="F14" s="15">
        <f>F13/F4</f>
        <v>0.1</v>
      </c>
    </row>
    <row r="15" spans="1:6">
      <c r="A15" s="7" t="s">
        <v>94</v>
      </c>
      <c r="B15" s="12">
        <v>52.548000000000002</v>
      </c>
      <c r="C15" s="12">
        <v>82.608999999999995</v>
      </c>
      <c r="D15" s="16">
        <f>D7-D9-D11-D13</f>
        <v>158.958934790656</v>
      </c>
      <c r="E15" s="16">
        <f>E7-E9-E11-E13</f>
        <v>208.61159221407269</v>
      </c>
      <c r="F15" s="16">
        <f>F7-F9-F11-F13</f>
        <v>257.56338135258204</v>
      </c>
    </row>
    <row r="16" spans="1:6">
      <c r="A16" t="s">
        <v>64</v>
      </c>
      <c r="B16" s="11">
        <f>B15/B4</f>
        <v>0.12754368932038834</v>
      </c>
      <c r="C16" s="11">
        <f>C15/C4</f>
        <v>0.1622026526865569</v>
      </c>
      <c r="D16" s="15">
        <f>D15/D4</f>
        <v>0.26</v>
      </c>
      <c r="E16" s="15">
        <f>E15/E4</f>
        <v>0.28999999999999998</v>
      </c>
      <c r="F16" s="15">
        <f>F15/F4</f>
        <v>0.31000000000000011</v>
      </c>
    </row>
    <row r="17" spans="1:6">
      <c r="A17" t="s">
        <v>95</v>
      </c>
      <c r="B17" s="12">
        <v>17.984000000000002</v>
      </c>
      <c r="C17" s="12">
        <v>15.79</v>
      </c>
      <c r="D17" s="16">
        <f>Assumptions!D11</f>
        <v>25.6</v>
      </c>
      <c r="E17" s="16">
        <f>Assumptions!E11</f>
        <v>23</v>
      </c>
      <c r="F17" s="16">
        <f>Assumptions!F11</f>
        <v>20</v>
      </c>
    </row>
    <row r="18" spans="1:6">
      <c r="A18" t="s">
        <v>96</v>
      </c>
      <c r="B18" s="12">
        <v>3.1E-2</v>
      </c>
      <c r="C18" s="12">
        <v>2.7149999999999999</v>
      </c>
      <c r="D18" s="16">
        <v>0</v>
      </c>
      <c r="E18" s="16">
        <v>0</v>
      </c>
      <c r="F18" s="16">
        <v>0</v>
      </c>
    </row>
    <row r="19" spans="1:6">
      <c r="A19" t="s">
        <v>97</v>
      </c>
      <c r="B19" s="12">
        <v>0</v>
      </c>
      <c r="C19" s="12">
        <v>4.1879999999999997</v>
      </c>
      <c r="D19" s="16">
        <v>0</v>
      </c>
      <c r="E19" s="16">
        <v>0</v>
      </c>
      <c r="F19" s="16">
        <v>0</v>
      </c>
    </row>
    <row r="20" spans="1:6">
      <c r="A20" s="7" t="s">
        <v>98</v>
      </c>
      <c r="B20" s="12">
        <v>34.533000000000001</v>
      </c>
      <c r="C20" s="12">
        <v>59.915999999999997</v>
      </c>
      <c r="D20" s="16">
        <f>D15-D17-D18-D19</f>
        <v>133.35893479065601</v>
      </c>
      <c r="E20" s="16">
        <f>E15-E17-E18-E19</f>
        <v>185.61159221407269</v>
      </c>
      <c r="F20" s="16">
        <f>F15-F17-F18-F19</f>
        <v>237.56338135258204</v>
      </c>
    </row>
    <row r="21" spans="1:6">
      <c r="A21" t="s">
        <v>99</v>
      </c>
      <c r="B21" s="12">
        <v>12.773999999999999</v>
      </c>
      <c r="C21" s="12">
        <v>9.24</v>
      </c>
      <c r="D21" s="16">
        <f>D20*Assumptions!D10</f>
        <v>31.339349675804161</v>
      </c>
      <c r="E21" s="16">
        <f>E20*Assumptions!E10</f>
        <v>40.834550287095993</v>
      </c>
      <c r="F21" s="16">
        <f>F20*Assumptions!F10</f>
        <v>52.263943897568048</v>
      </c>
    </row>
    <row r="22" spans="1:6">
      <c r="A22" t="s">
        <v>41</v>
      </c>
      <c r="B22" s="11">
        <f>B21/B20</f>
        <v>0.36990704543480146</v>
      </c>
      <c r="C22" s="11">
        <f>C21/C20</f>
        <v>0.15421590226316845</v>
      </c>
      <c r="D22" s="15">
        <f>D21/D20</f>
        <v>0.23499999999999999</v>
      </c>
      <c r="E22" s="15">
        <f>E21/E20</f>
        <v>0.22</v>
      </c>
      <c r="F22" s="15">
        <f>F21/F20</f>
        <v>0.22</v>
      </c>
    </row>
    <row r="23" spans="1:6">
      <c r="A23" s="7" t="s">
        <v>100</v>
      </c>
      <c r="B23" s="12">
        <v>21.759</v>
      </c>
      <c r="C23" s="12">
        <v>50.676000000000002</v>
      </c>
      <c r="D23" s="16">
        <f>D20-D21</f>
        <v>102.01958511485185</v>
      </c>
      <c r="E23" s="16">
        <f>E20-E21</f>
        <v>144.77704192697669</v>
      </c>
      <c r="F23" s="16">
        <f>F20-F21</f>
        <v>185.29943745501399</v>
      </c>
    </row>
    <row r="24" spans="1:6">
      <c r="A24" t="s">
        <v>101</v>
      </c>
      <c r="B24" s="11">
        <f>B23/B4</f>
        <v>5.2813106796116505E-2</v>
      </c>
      <c r="C24" s="11">
        <f>C23/C4</f>
        <v>9.9502253114599593E-2</v>
      </c>
      <c r="D24" s="15">
        <f>D23/D4</f>
        <v>0.1668675759861766</v>
      </c>
      <c r="E24" s="15">
        <f>E23/E4</f>
        <v>0.2012608298187897</v>
      </c>
      <c r="F24" s="15">
        <f>F23/F4</f>
        <v>0.2230240390128288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topLeftCell="B1" workbookViewId="0">
      <selection activeCell="D7" sqref="D7"/>
    </sheetView>
  </sheetViews>
  <sheetFormatPr defaultRowHeight="13.8"/>
  <cols>
    <col min="1" max="1" width="42" customWidth="1"/>
    <col min="2" max="6" width="18" style="8" customWidth="1"/>
    <col min="7" max="26" width="18" customWidth="1"/>
  </cols>
  <sheetData>
    <row r="1" spans="1:6" ht="21">
      <c r="A1" s="71" t="s">
        <v>102</v>
      </c>
      <c r="B1" s="71"/>
      <c r="C1" s="71"/>
      <c r="D1" s="71"/>
      <c r="E1" s="71"/>
      <c r="F1" s="71"/>
    </row>
    <row r="3" spans="1:6">
      <c r="A3" s="5" t="s">
        <v>86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</row>
    <row r="4" spans="1:6">
      <c r="A4" t="s">
        <v>103</v>
      </c>
      <c r="B4" s="13">
        <v>43.311999999999998</v>
      </c>
      <c r="C4" s="13">
        <v>95.111000000000004</v>
      </c>
      <c r="D4" s="13">
        <v>119.94</v>
      </c>
      <c r="E4" s="17">
        <f>D4+'Cash Flow'!E10-'Cash Flow'!E11</f>
        <v>282.12191342477331</v>
      </c>
      <c r="F4" s="17">
        <f>E4+'Cash Flow'!F10-'Cash Flow'!F11</f>
        <v>487.5646953746367</v>
      </c>
    </row>
    <row r="5" spans="1:6">
      <c r="A5" t="s">
        <v>104</v>
      </c>
      <c r="B5" s="13">
        <v>267.36</v>
      </c>
      <c r="C5" s="13">
        <v>272.017</v>
      </c>
      <c r="D5" s="13">
        <v>299.06200000000001</v>
      </c>
      <c r="E5" s="17">
        <f>D5</f>
        <v>299.06200000000001</v>
      </c>
      <c r="F5" s="17">
        <f>E5</f>
        <v>299.06200000000001</v>
      </c>
    </row>
    <row r="6" spans="1:6">
      <c r="A6" t="s">
        <v>105</v>
      </c>
      <c r="B6" s="13">
        <v>8.5869999999999997</v>
      </c>
      <c r="C6" s="13">
        <v>11.643000000000001</v>
      </c>
      <c r="D6" s="13">
        <v>12.333</v>
      </c>
      <c r="E6" s="17">
        <f>D6</f>
        <v>12.333</v>
      </c>
      <c r="F6" s="17">
        <f>E6</f>
        <v>12.333</v>
      </c>
    </row>
    <row r="7" spans="1:6">
      <c r="A7" t="s">
        <v>106</v>
      </c>
      <c r="B7" s="13">
        <v>29.873999999999999</v>
      </c>
      <c r="C7" s="13">
        <v>38.436999999999998</v>
      </c>
      <c r="D7" s="13">
        <f>'Income Statement'!D4*7.5%</f>
        <v>45.853538881920002</v>
      </c>
      <c r="E7" s="17">
        <f>'Income Statement'!E4*7.5%</f>
        <v>53.951273848467075</v>
      </c>
      <c r="F7" s="17">
        <f>'Income Statement'!F4*7.5%</f>
        <v>62.313721294979501</v>
      </c>
    </row>
    <row r="8" spans="1:6">
      <c r="A8" t="s">
        <v>107</v>
      </c>
      <c r="B8" s="13">
        <v>47.969000000000001</v>
      </c>
      <c r="C8" s="13">
        <v>49.076999999999998</v>
      </c>
      <c r="D8" s="13">
        <f>'Income Statement'!D4*9.6%</f>
        <v>58.692529768857604</v>
      </c>
      <c r="E8" s="17">
        <f>'Income Statement'!E4*9.6%</f>
        <v>69.057630526037869</v>
      </c>
      <c r="F8" s="17">
        <f>'Income Statement'!F4*9.6%</f>
        <v>79.761563257573769</v>
      </c>
    </row>
    <row r="9" spans="1:6">
      <c r="A9" t="s">
        <v>108</v>
      </c>
      <c r="B9" s="13">
        <v>13.414</v>
      </c>
      <c r="C9" s="13">
        <v>22.899000000000001</v>
      </c>
      <c r="D9" s="13">
        <f>514.554-SUM(D4:D8)</f>
        <v>-21.327068650777733</v>
      </c>
      <c r="E9" s="17">
        <f>'Income Statement'!E4*3.5%</f>
        <v>25.177261129284638</v>
      </c>
      <c r="F9" s="17">
        <f>'Income Statement'!F4*3.5%</f>
        <v>29.07973660432377</v>
      </c>
    </row>
    <row r="10" spans="1:6" ht="10.5" customHeight="1">
      <c r="A10" s="7" t="s">
        <v>109</v>
      </c>
      <c r="B10" s="18">
        <v>389.17899999999997</v>
      </c>
      <c r="C10" s="18">
        <v>467.45499999999998</v>
      </c>
      <c r="D10" s="18">
        <v>514.55399999999997</v>
      </c>
      <c r="E10" s="19">
        <f>SUM(E4:E9)</f>
        <v>741.70307892856283</v>
      </c>
      <c r="F10" s="19">
        <f>SUM(F4:F9)</f>
        <v>970.11471653151375</v>
      </c>
    </row>
    <row r="11" spans="1:6">
      <c r="A11" t="s">
        <v>110</v>
      </c>
      <c r="B11" s="13">
        <v>18.170000000000002</v>
      </c>
      <c r="C11" s="13">
        <v>20.393999999999998</v>
      </c>
      <c r="D11" s="13">
        <f>'Income Statement'!D4*3.3%</f>
        <v>20.175557108044803</v>
      </c>
      <c r="E11" s="17">
        <f>'Income Statement'!E4*3.3%</f>
        <v>23.738560493325515</v>
      </c>
      <c r="F11" s="17">
        <f>'Income Statement'!F4*3.3%</f>
        <v>27.418037369790984</v>
      </c>
    </row>
    <row r="12" spans="1:6">
      <c r="A12" t="s">
        <v>111</v>
      </c>
      <c r="B12" s="13">
        <v>9.8040000000000003</v>
      </c>
      <c r="C12" s="13">
        <v>22.265999999999998</v>
      </c>
      <c r="D12" s="13">
        <v>28.5</v>
      </c>
      <c r="E12" s="17">
        <f>D12*1.02</f>
        <v>29.07</v>
      </c>
      <c r="F12" s="17">
        <f>E12*1.02</f>
        <v>29.651400000000002</v>
      </c>
    </row>
    <row r="13" spans="1:6">
      <c r="A13" t="s">
        <v>112</v>
      </c>
      <c r="B13" s="13">
        <v>49.889000000000003</v>
      </c>
      <c r="C13" s="13">
        <v>39.828000000000003</v>
      </c>
      <c r="D13" s="13">
        <v>37.286999999999999</v>
      </c>
      <c r="E13" s="17">
        <f>D13-8.9</f>
        <v>28.387</v>
      </c>
      <c r="F13" s="17">
        <f>E13-6.6</f>
        <v>21.786999999999999</v>
      </c>
    </row>
    <row r="14" spans="1:6">
      <c r="A14" t="s">
        <v>113</v>
      </c>
      <c r="B14" s="13">
        <v>185.57499999999999</v>
      </c>
      <c r="C14" s="13">
        <v>192.40899999999999</v>
      </c>
      <c r="D14" s="13">
        <v>192.67099999999999</v>
      </c>
      <c r="E14" s="17">
        <f>D14</f>
        <v>192.67099999999999</v>
      </c>
      <c r="F14" s="17">
        <f>E14</f>
        <v>192.67099999999999</v>
      </c>
    </row>
    <row r="15" spans="1:6">
      <c r="A15" t="s">
        <v>114</v>
      </c>
      <c r="B15" s="13">
        <v>26.733000000000001</v>
      </c>
      <c r="C15" s="13">
        <v>24.651</v>
      </c>
      <c r="D15" s="13">
        <f>839.509-SUM(D10:D14)</f>
        <v>46.321442891955257</v>
      </c>
      <c r="E15" s="17">
        <f>'Income Statement'!E4*3.5%</f>
        <v>25.177261129284638</v>
      </c>
      <c r="F15" s="17">
        <f>'Income Statement'!F4*3.5%</f>
        <v>29.07973660432377</v>
      </c>
    </row>
    <row r="16" spans="1:6">
      <c r="A16" s="7" t="s">
        <v>115</v>
      </c>
      <c r="B16" s="18">
        <v>700.68700000000001</v>
      </c>
      <c r="C16" s="18">
        <v>788.73199999999997</v>
      </c>
      <c r="D16" s="18">
        <v>839.50900000000001</v>
      </c>
      <c r="E16" s="19">
        <f>SUM(E10:E15)</f>
        <v>1040.7469005511732</v>
      </c>
      <c r="F16" s="19">
        <f>SUM(F10:F15)</f>
        <v>1270.7218905056286</v>
      </c>
    </row>
    <row r="17" spans="1:6">
      <c r="A17" t="s">
        <v>116</v>
      </c>
      <c r="B17" s="13">
        <v>8.5709999999999997</v>
      </c>
      <c r="C17" s="13">
        <v>7.923</v>
      </c>
      <c r="D17" s="13">
        <f>'Income Statement'!D4*1.6%</f>
        <v>9.7820882948096006</v>
      </c>
      <c r="E17" s="17">
        <f>'Income Statement'!E4*1.6%</f>
        <v>11.509605087672977</v>
      </c>
      <c r="F17" s="17">
        <f>'Income Statement'!F4*1.6%</f>
        <v>13.293593876262294</v>
      </c>
    </row>
    <row r="18" spans="1:6">
      <c r="A18" t="s">
        <v>117</v>
      </c>
      <c r="B18" s="13">
        <v>40.183999999999997</v>
      </c>
      <c r="C18" s="13">
        <v>51.024999999999999</v>
      </c>
      <c r="D18" s="13">
        <f>'Income Statement'!D4*7%</f>
        <v>42.796636289792005</v>
      </c>
      <c r="E18" s="17">
        <f>'Income Statement'!E4*7%</f>
        <v>50.354522258569276</v>
      </c>
      <c r="F18" s="17">
        <f>'Income Statement'!F4*7%</f>
        <v>58.15947320864754</v>
      </c>
    </row>
    <row r="19" spans="1:6">
      <c r="A19" t="s">
        <v>118</v>
      </c>
      <c r="B19" s="13">
        <v>7.4820000000000002</v>
      </c>
      <c r="C19" s="13">
        <v>10.134</v>
      </c>
      <c r="D19" s="13">
        <f>'Income Statement'!D4*2%</f>
        <v>12.227610368512002</v>
      </c>
      <c r="E19" s="17">
        <f>'Income Statement'!E4*2%</f>
        <v>14.387006359591222</v>
      </c>
      <c r="F19" s="17">
        <f>'Income Statement'!F4*2%</f>
        <v>16.616992345327866</v>
      </c>
    </row>
    <row r="20" spans="1:6">
      <c r="A20" t="s">
        <v>119</v>
      </c>
      <c r="B20" s="13">
        <v>266.31200000000001</v>
      </c>
      <c r="C20" s="13">
        <v>270.904</v>
      </c>
      <c r="D20" s="13">
        <f>270.9</f>
        <v>270.89999999999998</v>
      </c>
      <c r="E20" s="17">
        <f>D20</f>
        <v>270.89999999999998</v>
      </c>
      <c r="F20" s="17">
        <f>E20</f>
        <v>270.89999999999998</v>
      </c>
    </row>
    <row r="21" spans="1:6">
      <c r="A21" t="s">
        <v>120</v>
      </c>
      <c r="B21" s="13">
        <v>168.404</v>
      </c>
      <c r="C21" s="13">
        <v>390.25</v>
      </c>
      <c r="D21" s="13">
        <v>389.63799999999998</v>
      </c>
      <c r="E21" s="17">
        <f>D21-'Cash Flow'!E11</f>
        <v>369.63799999999998</v>
      </c>
      <c r="F21" s="17">
        <f>E21-'Cash Flow'!F11</f>
        <v>349.63799999999998</v>
      </c>
    </row>
    <row r="22" spans="1:6">
      <c r="A22" t="s">
        <v>121</v>
      </c>
      <c r="B22" s="13">
        <v>13.933999999999999</v>
      </c>
      <c r="C22" s="13">
        <v>25.259</v>
      </c>
      <c r="D22" s="13">
        <v>31.433</v>
      </c>
      <c r="E22" s="17">
        <f>D22*0.98</f>
        <v>30.80434</v>
      </c>
      <c r="F22" s="17">
        <f>E22*0.98</f>
        <v>30.188253199999998</v>
      </c>
    </row>
    <row r="23" spans="1:6">
      <c r="A23" t="s">
        <v>122</v>
      </c>
      <c r="B23" s="13">
        <v>5.5250000000000004</v>
      </c>
      <c r="C23" s="13">
        <v>5.4669999999999996</v>
      </c>
      <c r="D23" s="13">
        <f>782.94-SUM(D17:D22)</f>
        <v>26.162665046886559</v>
      </c>
      <c r="E23" s="17">
        <f>D23</f>
        <v>26.162665046886559</v>
      </c>
      <c r="F23" s="17">
        <f>E23</f>
        <v>26.162665046886559</v>
      </c>
    </row>
    <row r="24" spans="1:6">
      <c r="A24" s="7" t="s">
        <v>123</v>
      </c>
      <c r="B24" s="18">
        <v>505.512</v>
      </c>
      <c r="C24" s="18">
        <v>756.32600000000002</v>
      </c>
      <c r="D24" s="18">
        <v>782.94</v>
      </c>
      <c r="E24" s="19">
        <f>SUM(E17:E23)</f>
        <v>773.75613875271995</v>
      </c>
      <c r="F24" s="19">
        <f>SUM(F17:F23)</f>
        <v>764.95897767712427</v>
      </c>
    </row>
    <row r="25" spans="1:6">
      <c r="A25" s="7" t="s">
        <v>124</v>
      </c>
      <c r="B25" s="18">
        <v>195.17500000000001</v>
      </c>
      <c r="C25" s="18">
        <v>32.405999999999999</v>
      </c>
      <c r="D25" s="18">
        <v>56.569000000000003</v>
      </c>
      <c r="E25" s="19">
        <f>E16-E24</f>
        <v>266.99076179845326</v>
      </c>
      <c r="F25" s="19">
        <f>F16-F24</f>
        <v>505.76291282850434</v>
      </c>
    </row>
    <row r="26" spans="1:6">
      <c r="A26" s="7" t="s">
        <v>125</v>
      </c>
      <c r="B26" s="18">
        <f>B24+B25</f>
        <v>700.68700000000001</v>
      </c>
      <c r="C26" s="18">
        <f>C24+C25</f>
        <v>788.73199999999997</v>
      </c>
      <c r="D26" s="18">
        <f>D24+D25</f>
        <v>839.50900000000001</v>
      </c>
      <c r="E26" s="19">
        <f>E24+E25</f>
        <v>1040.7469005511732</v>
      </c>
      <c r="F26" s="19">
        <f>F24+F25</f>
        <v>1270.7218905056286</v>
      </c>
    </row>
    <row r="27" spans="1:6">
      <c r="A27" s="7" t="s">
        <v>126</v>
      </c>
      <c r="B27" s="18">
        <f>B16-B26</f>
        <v>0</v>
      </c>
      <c r="C27" s="18">
        <f>C16-C26</f>
        <v>0</v>
      </c>
      <c r="D27" s="18">
        <f>D16-D26</f>
        <v>0</v>
      </c>
      <c r="E27" s="19">
        <f>E16-E26</f>
        <v>0</v>
      </c>
      <c r="F27" s="19">
        <f>F16-F26</f>
        <v>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topLeftCell="C1" workbookViewId="0">
      <selection sqref="A1:F1"/>
    </sheetView>
  </sheetViews>
  <sheetFormatPr defaultRowHeight="13.8"/>
  <cols>
    <col min="1" max="1" width="34" customWidth="1"/>
    <col min="2" max="2" width="14.69921875" style="8" customWidth="1"/>
    <col min="3" max="3" width="24" customWidth="1"/>
    <col min="4" max="4" width="19.3984375" customWidth="1"/>
    <col min="5" max="5" width="24" customWidth="1"/>
    <col min="6" max="6" width="19.3984375" customWidth="1"/>
    <col min="7" max="26" width="18" customWidth="1"/>
  </cols>
  <sheetData>
    <row r="1" spans="1:6" ht="21">
      <c r="A1" s="72" t="s">
        <v>127</v>
      </c>
      <c r="B1" s="72"/>
      <c r="C1" s="72"/>
      <c r="D1" s="72"/>
      <c r="E1" s="72"/>
      <c r="F1" s="72"/>
    </row>
    <row r="3" spans="1:6">
      <c r="A3" s="23" t="s">
        <v>86</v>
      </c>
      <c r="B3" s="23" t="s">
        <v>30</v>
      </c>
      <c r="C3" s="23" t="s">
        <v>31</v>
      </c>
      <c r="D3" s="23" t="s">
        <v>32</v>
      </c>
      <c r="E3" s="23" t="s">
        <v>33</v>
      </c>
      <c r="F3" s="23" t="s">
        <v>34</v>
      </c>
    </row>
    <row r="4" spans="1:6">
      <c r="A4" t="s">
        <v>100</v>
      </c>
      <c r="B4" s="12">
        <v>21.759</v>
      </c>
      <c r="C4" s="12">
        <v>50.676000000000002</v>
      </c>
      <c r="D4" s="16">
        <f>'Income Statement'!D23</f>
        <v>102.01958511485185</v>
      </c>
      <c r="E4" s="16">
        <f>'Income Statement'!E23</f>
        <v>144.77704192697669</v>
      </c>
      <c r="F4" s="16">
        <f>'Income Statement'!F23</f>
        <v>185.29943745501399</v>
      </c>
    </row>
    <row r="5" spans="1:6">
      <c r="A5" t="s">
        <v>128</v>
      </c>
      <c r="B5" s="12">
        <v>20.045000000000002</v>
      </c>
      <c r="C5" s="12">
        <v>21.378</v>
      </c>
      <c r="D5" s="16">
        <f>'Income Statement'!D4*Assumptions!D12</f>
        <v>30.569025921280002</v>
      </c>
      <c r="E5" s="16">
        <f>'Income Statement'!E4*Assumptions!E12</f>
        <v>33.809464945039373</v>
      </c>
      <c r="F5" s="16">
        <f>'Income Statement'!F4*Assumptions!F12</f>
        <v>37.388232776987699</v>
      </c>
    </row>
    <row r="6" spans="1:6">
      <c r="A6" t="s">
        <v>129</v>
      </c>
      <c r="B6" s="12">
        <v>1.7909999999999999</v>
      </c>
      <c r="C6" s="12">
        <v>22.013999999999999</v>
      </c>
      <c r="D6" s="16">
        <f>'Income Statement'!D4*Assumptions!D13</f>
        <v>18.341415552768002</v>
      </c>
      <c r="E6" s="16">
        <f>'Income Statement'!E4*Assumptions!E13</f>
        <v>20.141808903427709</v>
      </c>
      <c r="F6" s="16">
        <f>'Income Statement'!F4*Assumptions!F13</f>
        <v>21.602090048926225</v>
      </c>
    </row>
    <row r="7" spans="1:6">
      <c r="A7" t="s">
        <v>130</v>
      </c>
      <c r="B7" s="12">
        <v>118.333</v>
      </c>
      <c r="C7" s="12">
        <v>5.9950000000000001</v>
      </c>
      <c r="D7" s="16">
        <f>-(('Income Statement'!D4-'Income Statement'!C4)*Assumptions!D15)</f>
        <v>-2.0417103685120002</v>
      </c>
      <c r="E7" s="16">
        <f>-(('Income Statement'!E4-'Income Statement'!D4)*Assumptions!E15)</f>
        <v>-2.1593959910792204</v>
      </c>
      <c r="F7" s="16">
        <f>-(('Income Statement'!F4-'Income Statement'!E4)*Assumptions!F15)</f>
        <v>-2.2299859857366462</v>
      </c>
    </row>
    <row r="8" spans="1:6">
      <c r="A8" s="7" t="s">
        <v>131</v>
      </c>
      <c r="B8" s="12">
        <v>161.928</v>
      </c>
      <c r="C8" s="12">
        <v>100.063</v>
      </c>
      <c r="D8" s="16">
        <f>D4+D5+D6+D7</f>
        <v>148.88831622038785</v>
      </c>
      <c r="E8" s="16">
        <f>E4+E5+E6+E7</f>
        <v>196.56891978436457</v>
      </c>
      <c r="F8" s="16">
        <f>F4+F5+F6+F7</f>
        <v>242.05977429519126</v>
      </c>
    </row>
    <row r="9" spans="1:6">
      <c r="A9" t="s">
        <v>132</v>
      </c>
      <c r="B9" s="12">
        <v>9.5739999999999998</v>
      </c>
      <c r="C9" s="12">
        <v>12.974</v>
      </c>
      <c r="D9" s="16">
        <f>'Income Statement'!D4*Assumptions!D14</f>
        <v>12.227610368512002</v>
      </c>
      <c r="E9" s="16">
        <f>'Income Statement'!E4*Assumptions!E14</f>
        <v>14.387006359591222</v>
      </c>
      <c r="F9" s="16">
        <f>'Income Statement'!F4*Assumptions!F14</f>
        <v>16.616992345327866</v>
      </c>
    </row>
    <row r="10" spans="1:6">
      <c r="A10" s="7" t="s">
        <v>133</v>
      </c>
      <c r="B10" s="12">
        <v>152.35400000000001</v>
      </c>
      <c r="C10" s="12">
        <v>87.088999999999999</v>
      </c>
      <c r="D10" s="16">
        <f>D8-D9</f>
        <v>136.66070585187586</v>
      </c>
      <c r="E10" s="16">
        <f>E8-E9</f>
        <v>182.18191342477334</v>
      </c>
      <c r="F10" s="16">
        <f>F8-F9</f>
        <v>225.44278194986339</v>
      </c>
    </row>
    <row r="11" spans="1:6">
      <c r="A11" t="s">
        <v>134</v>
      </c>
      <c r="B11" s="12">
        <v>1.75</v>
      </c>
      <c r="C11" s="12">
        <v>173.25</v>
      </c>
      <c r="D11" s="16">
        <v>10</v>
      </c>
      <c r="E11" s="16">
        <v>20</v>
      </c>
      <c r="F11" s="16">
        <v>20</v>
      </c>
    </row>
    <row r="12" spans="1:6">
      <c r="A12" s="7" t="s">
        <v>135</v>
      </c>
      <c r="B12" s="12">
        <f>B10-B11</f>
        <v>150.60400000000001</v>
      </c>
      <c r="C12" s="12">
        <f>C10-C11</f>
        <v>-86.161000000000001</v>
      </c>
      <c r="D12" s="16">
        <f>D10-D11</f>
        <v>126.66070585187586</v>
      </c>
      <c r="E12" s="16">
        <f>E10-E11</f>
        <v>162.18191342477334</v>
      </c>
      <c r="F12" s="16">
        <f>F10-F11</f>
        <v>205.44278194986339</v>
      </c>
    </row>
    <row r="13" spans="1:6">
      <c r="A13" s="7" t="s">
        <v>136</v>
      </c>
      <c r="B13" s="12">
        <f>'Balance Sheet'!B4</f>
        <v>43.311999999999998</v>
      </c>
      <c r="C13" s="12">
        <f>'Balance Sheet'!C4</f>
        <v>95.111000000000004</v>
      </c>
      <c r="D13" s="16">
        <f>'Balance Sheet'!D4</f>
        <v>119.94</v>
      </c>
      <c r="E13" s="16">
        <f>'Balance Sheet'!E4</f>
        <v>282.12191342477331</v>
      </c>
      <c r="F13" s="16">
        <f>'Balance Sheet'!F4</f>
        <v>487.5646953746367</v>
      </c>
    </row>
    <row r="15" spans="1:6">
      <c r="A15" s="37" t="s">
        <v>137</v>
      </c>
      <c r="B15" s="38">
        <f>B10/'Income Statement'!B4</f>
        <v>0.36979126213592234</v>
      </c>
      <c r="C15" s="38">
        <f>C10/'Income Statement'!C4</f>
        <v>0.17099912624314001</v>
      </c>
      <c r="D15" s="38">
        <f>D10/'Income Statement'!D4</f>
        <v>0.22352806759986144</v>
      </c>
      <c r="E15" s="38">
        <f>E10/'Income Statement'!E4</f>
        <v>0.25325896002446707</v>
      </c>
      <c r="F15" s="38">
        <f>F10/'Income Statement'!F4</f>
        <v>0.27134005632884611</v>
      </c>
    </row>
    <row r="16" spans="1:6" ht="27.6">
      <c r="A16" s="4" t="s">
        <v>138</v>
      </c>
      <c r="B16" s="4" t="s">
        <v>139</v>
      </c>
      <c r="C16" s="4" t="s">
        <v>139</v>
      </c>
      <c r="D16" s="4" t="s">
        <v>140</v>
      </c>
      <c r="E16" s="4" t="s">
        <v>140</v>
      </c>
      <c r="F16" s="4" t="s">
        <v>140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"/>
  <sheetViews>
    <sheetView workbookViewId="0">
      <selection activeCell="B13" sqref="B13"/>
    </sheetView>
  </sheetViews>
  <sheetFormatPr defaultRowHeight="13.8"/>
  <cols>
    <col min="1" max="1" width="43.09765625" customWidth="1"/>
    <col min="2" max="2" width="28.796875" style="8" customWidth="1"/>
    <col min="3" max="3" width="27.796875" customWidth="1"/>
    <col min="4" max="4" width="16.8984375" customWidth="1"/>
    <col min="5" max="5" width="27.296875" customWidth="1"/>
    <col min="6" max="6" width="18.296875" customWidth="1"/>
    <col min="7" max="26" width="18" customWidth="1"/>
  </cols>
  <sheetData>
    <row r="1" spans="1:8" ht="21">
      <c r="A1" s="72" t="s">
        <v>141</v>
      </c>
      <c r="B1" s="72"/>
      <c r="C1" s="72"/>
      <c r="D1" s="72"/>
      <c r="E1" s="72"/>
      <c r="F1" s="72"/>
      <c r="G1" s="71"/>
      <c r="H1" s="71"/>
    </row>
    <row r="3" spans="1:8">
      <c r="A3" s="23" t="s">
        <v>142</v>
      </c>
      <c r="B3" s="23" t="s">
        <v>143</v>
      </c>
      <c r="C3" s="23" t="s">
        <v>144</v>
      </c>
      <c r="D3" s="23" t="s">
        <v>145</v>
      </c>
      <c r="E3" s="23" t="s">
        <v>146</v>
      </c>
    </row>
    <row r="4" spans="1:8" ht="27.6">
      <c r="A4" s="4" t="s">
        <v>147</v>
      </c>
      <c r="B4" s="21" t="s">
        <v>148</v>
      </c>
      <c r="C4" s="20">
        <v>8.5</v>
      </c>
      <c r="D4" s="20">
        <v>26</v>
      </c>
      <c r="E4" s="21" t="s">
        <v>149</v>
      </c>
    </row>
    <row r="5" spans="1:8" ht="27.6">
      <c r="A5" s="4" t="s">
        <v>150</v>
      </c>
      <c r="B5" s="21" t="s">
        <v>151</v>
      </c>
      <c r="C5" s="20">
        <v>8.8000000000000007</v>
      </c>
      <c r="D5" s="20">
        <v>30</v>
      </c>
      <c r="E5" s="21" t="s">
        <v>152</v>
      </c>
    </row>
    <row r="6" spans="1:8">
      <c r="A6" s="4" t="s">
        <v>153</v>
      </c>
      <c r="B6" s="21" t="s">
        <v>154</v>
      </c>
      <c r="C6" s="20">
        <v>10.199999999999999</v>
      </c>
      <c r="D6" s="20">
        <v>28</v>
      </c>
      <c r="E6" s="21" t="s">
        <v>155</v>
      </c>
    </row>
    <row r="7" spans="1:8">
      <c r="A7" s="4" t="s">
        <v>156</v>
      </c>
      <c r="B7" s="21" t="s">
        <v>157</v>
      </c>
      <c r="C7" s="20">
        <v>9.5</v>
      </c>
      <c r="D7" s="20">
        <v>27</v>
      </c>
      <c r="E7" s="21" t="s">
        <v>158</v>
      </c>
    </row>
    <row r="8" spans="1:8">
      <c r="A8" s="4" t="s">
        <v>159</v>
      </c>
      <c r="B8" s="21" t="s">
        <v>160</v>
      </c>
      <c r="C8" s="20">
        <v>7.5</v>
      </c>
      <c r="D8" s="20">
        <v>22</v>
      </c>
      <c r="E8" s="21" t="s">
        <v>161</v>
      </c>
    </row>
    <row r="9" spans="1:8" ht="27.6">
      <c r="A9" s="4" t="s">
        <v>162</v>
      </c>
      <c r="B9" s="21"/>
      <c r="C9" s="20">
        <f>MEDIAN(C4:C8)</f>
        <v>8.8000000000000007</v>
      </c>
      <c r="D9" s="20">
        <f>MEDIAN(D4:D8)</f>
        <v>27</v>
      </c>
      <c r="E9" s="21" t="s">
        <v>163</v>
      </c>
    </row>
    <row r="10" spans="1:8">
      <c r="C10" s="40"/>
      <c r="D10" s="40"/>
    </row>
    <row r="11" spans="1:8">
      <c r="C11" s="40"/>
      <c r="D11" s="40"/>
    </row>
    <row r="12" spans="1:8">
      <c r="A12" s="23" t="s">
        <v>164</v>
      </c>
      <c r="B12" s="23" t="s">
        <v>165</v>
      </c>
      <c r="C12" s="39" t="s">
        <v>166</v>
      </c>
      <c r="D12" s="39" t="s">
        <v>167</v>
      </c>
      <c r="E12" s="23" t="s">
        <v>168</v>
      </c>
      <c r="F12" s="23" t="s">
        <v>169</v>
      </c>
    </row>
    <row r="13" spans="1:8">
      <c r="A13" t="s">
        <v>170</v>
      </c>
      <c r="B13" s="22">
        <f>Assumptions!D18</f>
        <v>7</v>
      </c>
      <c r="C13" s="16">
        <f>'Income Statement'!D4</f>
        <v>611.38051842560003</v>
      </c>
      <c r="D13" s="16">
        <f>B13*C13</f>
        <v>4279.6636289792004</v>
      </c>
      <c r="E13" s="16">
        <f>Assumptions!C22</f>
        <v>269.69799999999998</v>
      </c>
      <c r="F13" s="16">
        <f>D13-E13</f>
        <v>4009.9656289792006</v>
      </c>
    </row>
    <row r="14" spans="1:8">
      <c r="A14" t="s">
        <v>171</v>
      </c>
      <c r="B14" s="22">
        <f>Assumptions!D19</f>
        <v>8.5</v>
      </c>
      <c r="C14" s="16">
        <f>'Income Statement'!D4</f>
        <v>611.38051842560003</v>
      </c>
      <c r="D14" s="16">
        <f>B14*C14</f>
        <v>5196.7344066176001</v>
      </c>
      <c r="E14" s="16">
        <f>Assumptions!C22</f>
        <v>269.69799999999998</v>
      </c>
      <c r="F14" s="16">
        <f>D14-E14</f>
        <v>4927.0364066175998</v>
      </c>
    </row>
    <row r="15" spans="1:8">
      <c r="A15" t="s">
        <v>172</v>
      </c>
      <c r="B15" s="22">
        <f>Assumptions!D20</f>
        <v>10</v>
      </c>
      <c r="C15" s="16">
        <f>'Income Statement'!D4</f>
        <v>611.38051842560003</v>
      </c>
      <c r="D15" s="16">
        <f>B15*C15</f>
        <v>6113.8051842559998</v>
      </c>
      <c r="E15" s="16">
        <f>Assumptions!C22</f>
        <v>269.69799999999998</v>
      </c>
      <c r="F15" s="16">
        <f>D15-E15</f>
        <v>5844.1071842559995</v>
      </c>
    </row>
    <row r="17" spans="1:6">
      <c r="A17" t="s">
        <v>52</v>
      </c>
      <c r="B17" s="41">
        <f>Assumptions!C21</f>
        <v>205</v>
      </c>
      <c r="C17" s="8" t="s">
        <v>173</v>
      </c>
    </row>
    <row r="18" spans="1:6">
      <c r="A18" t="s">
        <v>174</v>
      </c>
      <c r="B18" s="41">
        <f>F14/B17</f>
        <v>24.03432393472</v>
      </c>
      <c r="C18" s="8" t="s">
        <v>175</v>
      </c>
    </row>
    <row r="20" spans="1:6">
      <c r="A20" s="23" t="s">
        <v>176</v>
      </c>
      <c r="B20" s="42">
        <v>7</v>
      </c>
      <c r="C20" s="42">
        <v>8</v>
      </c>
      <c r="D20" s="42">
        <v>8.5</v>
      </c>
      <c r="E20" s="42">
        <v>9</v>
      </c>
      <c r="F20" s="42">
        <v>10</v>
      </c>
    </row>
    <row r="21" spans="1:6">
      <c r="A21" t="s">
        <v>177</v>
      </c>
      <c r="B21" s="41">
        <f>((B$20*'Income Statement'!$D$4*0.9)-Assumptions!$C$22)/Assumptions!$C$21</f>
        <v>17.473167151616003</v>
      </c>
      <c r="C21" s="41">
        <f>((C$20*'Income Statement'!$D$4*0.9)-Assumptions!$C$22)/Assumptions!$C$21</f>
        <v>20.157276744703999</v>
      </c>
      <c r="D21" s="41">
        <f>((D$20*'Income Statement'!$D$4*0.9)-Assumptions!$C$22)/Assumptions!$C$21</f>
        <v>21.499331541248001</v>
      </c>
      <c r="E21" s="41">
        <f>((E$20*'Income Statement'!$D$4*0.9)-Assumptions!$C$22)/Assumptions!$C$21</f>
        <v>22.841386337792002</v>
      </c>
      <c r="F21" s="41">
        <f>((F$20*'Income Statement'!$D$4*0.9)-Assumptions!$C$22)/Assumptions!$C$21</f>
        <v>25.525495930879998</v>
      </c>
    </row>
    <row r="22" spans="1:6">
      <c r="A22" t="s">
        <v>178</v>
      </c>
      <c r="B22" s="41">
        <f>((B$20*'Income Statement'!$D$4*1)-Assumptions!$C$22)/Assumptions!$C$21</f>
        <v>19.560807946240004</v>
      </c>
      <c r="C22" s="41">
        <f>((C$20*'Income Statement'!$D$4*1)-Assumptions!$C$22)/Assumptions!$C$21</f>
        <v>22.543151938560001</v>
      </c>
      <c r="D22" s="41">
        <f>((D$20*'Income Statement'!$D$4*1)-Assumptions!$C$22)/Assumptions!$C$21</f>
        <v>24.03432393472</v>
      </c>
      <c r="E22" s="41">
        <f>((E$20*'Income Statement'!$D$4*1)-Assumptions!$C$22)/Assumptions!$C$21</f>
        <v>25.525495930879998</v>
      </c>
      <c r="F22" s="41">
        <f>((F$20*'Income Statement'!$D$4*1)-Assumptions!$C$22)/Assumptions!$C$21</f>
        <v>28.507839923199999</v>
      </c>
    </row>
    <row r="23" spans="1:6">
      <c r="A23" t="s">
        <v>179</v>
      </c>
      <c r="B23" s="41">
        <f>((B$20*'Income Statement'!$D$4*1.1)-Assumptions!$C$22)/Assumptions!$C$21</f>
        <v>21.648448740864005</v>
      </c>
      <c r="C23" s="41">
        <f>((C$20*'Income Statement'!$D$4*1.1)-Assumptions!$C$22)/Assumptions!$C$21</f>
        <v>24.929027132416</v>
      </c>
      <c r="D23" s="41">
        <f>((D$20*'Income Statement'!$D$4*1.1)-Assumptions!$C$22)/Assumptions!$C$21</f>
        <v>26.569316328192002</v>
      </c>
      <c r="E23" s="41">
        <f>((E$20*'Income Statement'!$D$4*1.1)-Assumptions!$C$22)/Assumptions!$C$21</f>
        <v>28.209605523968001</v>
      </c>
      <c r="F23" s="41">
        <f>((F$20*'Income Statement'!$D$4*1.1)-Assumptions!$C$22)/Assumptions!$C$21</f>
        <v>31.490183915519999</v>
      </c>
    </row>
    <row r="26" spans="1:6">
      <c r="A26" s="74" t="s">
        <v>180</v>
      </c>
      <c r="B26" s="74"/>
      <c r="C26" s="74"/>
      <c r="D26" s="74"/>
      <c r="E26" s="74"/>
      <c r="F26" s="74"/>
    </row>
    <row r="27" spans="1:6" ht="27.6">
      <c r="A27" s="4" t="s">
        <v>181</v>
      </c>
      <c r="B27" s="43">
        <f>ROUND(B18*0.92,0)</f>
        <v>22</v>
      </c>
      <c r="C27" s="4" t="s">
        <v>182</v>
      </c>
    </row>
    <row r="28" spans="1:6">
      <c r="A28" s="4" t="s">
        <v>183</v>
      </c>
      <c r="B28" s="43">
        <f>ROUND(B18,0)</f>
        <v>24</v>
      </c>
      <c r="C28" s="4" t="s">
        <v>184</v>
      </c>
    </row>
    <row r="29" spans="1:6" ht="27.6">
      <c r="A29" s="4" t="s">
        <v>185</v>
      </c>
      <c r="B29" s="43">
        <f>ROUND(B18*1.08,0)</f>
        <v>26</v>
      </c>
      <c r="C29" s="4" t="s">
        <v>186</v>
      </c>
    </row>
    <row r="30" spans="1:6" ht="27.6">
      <c r="A30" s="4" t="s">
        <v>187</v>
      </c>
      <c r="B30" s="44">
        <f>((B28*Assumptions!C21)+Assumptions!C22)/'Income Statement'!D4</f>
        <v>8.48849095382411</v>
      </c>
      <c r="C30" s="4" t="s">
        <v>188</v>
      </c>
    </row>
    <row r="31" spans="1:6" ht="41.4">
      <c r="A31" s="4" t="s">
        <v>189</v>
      </c>
      <c r="B31" s="4" t="s">
        <v>190</v>
      </c>
      <c r="C31" s="4" t="s">
        <v>191</v>
      </c>
    </row>
  </sheetData>
  <mergeCells count="2">
    <mergeCell ref="A1:H1"/>
    <mergeCell ref="A26:F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6"/>
  <sheetViews>
    <sheetView showGridLines="0" workbookViewId="0">
      <selection activeCell="G49" sqref="G49"/>
    </sheetView>
  </sheetViews>
  <sheetFormatPr defaultRowHeight="13.8"/>
  <cols>
    <col min="1" max="6" width="15" customWidth="1"/>
    <col min="7" max="7" width="3" customWidth="1"/>
    <col min="8" max="13" width="15" customWidth="1"/>
  </cols>
  <sheetData>
    <row r="1" spans="1:13" ht="24" customHeight="1">
      <c r="A1" s="76" t="s">
        <v>192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24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ht="24" customHeight="1">
      <c r="A3" s="77" t="s">
        <v>239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ht="14.4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3" ht="24" customHeight="1">
      <c r="A5" s="51" t="s">
        <v>193</v>
      </c>
      <c r="B5" s="52" t="s">
        <v>194</v>
      </c>
      <c r="C5" s="50"/>
      <c r="D5" s="53" t="s">
        <v>195</v>
      </c>
      <c r="E5" s="54">
        <f>IF(B5="Low",22,IF(B5="Target",24,IF(B5="High",26,"")))</f>
        <v>24</v>
      </c>
      <c r="F5" s="50"/>
      <c r="G5" s="81" t="s">
        <v>196</v>
      </c>
      <c r="H5" s="81"/>
      <c r="I5" s="81"/>
      <c r="J5" s="81"/>
      <c r="K5" s="81"/>
      <c r="L5" s="81"/>
      <c r="M5" s="81"/>
    </row>
    <row r="6" spans="1:13" ht="14.4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</row>
    <row r="7" spans="1:13" ht="24" customHeight="1">
      <c r="A7" s="75" t="s">
        <v>197</v>
      </c>
      <c r="B7" s="75"/>
      <c r="C7" s="75" t="s">
        <v>198</v>
      </c>
      <c r="D7" s="75"/>
      <c r="E7" s="75" t="s">
        <v>199</v>
      </c>
      <c r="F7" s="75"/>
      <c r="G7" s="75" t="s">
        <v>200</v>
      </c>
      <c r="H7" s="75"/>
      <c r="I7" s="84" t="s">
        <v>201</v>
      </c>
      <c r="J7" s="84"/>
      <c r="K7" s="75" t="s">
        <v>202</v>
      </c>
      <c r="L7" s="75"/>
      <c r="M7" s="75"/>
    </row>
    <row r="8" spans="1:13" ht="24" customHeight="1">
      <c r="A8" s="75"/>
      <c r="B8" s="75"/>
      <c r="C8" s="75"/>
      <c r="D8" s="75"/>
      <c r="E8" s="75"/>
      <c r="F8" s="75"/>
      <c r="G8" s="75"/>
      <c r="H8" s="75"/>
      <c r="I8" s="84"/>
      <c r="J8" s="84"/>
      <c r="K8" s="75"/>
      <c r="L8" s="75"/>
      <c r="M8" s="75"/>
    </row>
    <row r="9" spans="1:13" ht="24" customHeight="1">
      <c r="A9" s="75"/>
      <c r="B9" s="75"/>
      <c r="C9" s="75"/>
      <c r="D9" s="75"/>
      <c r="E9" s="75"/>
      <c r="F9" s="75"/>
      <c r="G9" s="75"/>
      <c r="H9" s="75"/>
      <c r="I9" s="85">
        <f>E5</f>
        <v>24</v>
      </c>
      <c r="J9" s="84"/>
      <c r="K9" s="75"/>
      <c r="L9" s="75"/>
      <c r="M9" s="75"/>
    </row>
    <row r="10" spans="1:13" ht="14.4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 spans="1:13" ht="24" customHeight="1">
      <c r="A11" s="75" t="s">
        <v>203</v>
      </c>
      <c r="B11" s="75"/>
      <c r="C11" s="75" t="s">
        <v>204</v>
      </c>
      <c r="D11" s="75"/>
      <c r="E11" s="75" t="s">
        <v>205</v>
      </c>
      <c r="F11" s="75"/>
      <c r="G11" s="75" t="s">
        <v>206</v>
      </c>
      <c r="H11" s="75"/>
      <c r="I11" s="75" t="s">
        <v>207</v>
      </c>
      <c r="J11" s="75"/>
      <c r="K11" s="75" t="s">
        <v>208</v>
      </c>
      <c r="L11" s="75"/>
      <c r="M11" s="75"/>
    </row>
    <row r="12" spans="1:13" ht="24" customHeight="1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</row>
    <row r="13" spans="1:13" ht="24" customHeight="1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</row>
    <row r="14" spans="1:13" ht="14.4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 spans="1:13" ht="24" customHeight="1">
      <c r="A15" s="79" t="s">
        <v>209</v>
      </c>
      <c r="B15" s="79"/>
      <c r="C15" s="79"/>
      <c r="D15" s="79"/>
      <c r="E15" s="79"/>
      <c r="F15" s="79"/>
      <c r="G15" s="50"/>
      <c r="H15" s="79" t="s">
        <v>210</v>
      </c>
      <c r="I15" s="79"/>
      <c r="J15" s="79"/>
      <c r="K15" s="79"/>
      <c r="L15" s="79"/>
      <c r="M15" s="79"/>
    </row>
    <row r="16" spans="1:13" ht="24" customHeight="1">
      <c r="A16" s="55" t="s">
        <v>211</v>
      </c>
      <c r="B16" s="55" t="s">
        <v>87</v>
      </c>
      <c r="C16" s="55" t="s">
        <v>37</v>
      </c>
      <c r="D16" s="55" t="s">
        <v>64</v>
      </c>
      <c r="E16" s="55" t="s">
        <v>56</v>
      </c>
      <c r="F16" s="55" t="s">
        <v>212</v>
      </c>
      <c r="G16" s="50"/>
      <c r="H16" s="55" t="s">
        <v>164</v>
      </c>
      <c r="I16" s="55" t="s">
        <v>213</v>
      </c>
      <c r="J16" s="55" t="s">
        <v>214</v>
      </c>
      <c r="K16" s="55" t="s">
        <v>215</v>
      </c>
      <c r="L16" s="55" t="s">
        <v>216</v>
      </c>
      <c r="M16" s="55" t="s">
        <v>217</v>
      </c>
    </row>
    <row r="17" spans="1:13" ht="14.4">
      <c r="A17" s="50" t="s">
        <v>30</v>
      </c>
      <c r="B17" s="56">
        <v>412</v>
      </c>
      <c r="C17" s="57">
        <v>0.55500000000000005</v>
      </c>
      <c r="D17" s="57">
        <v>0.128</v>
      </c>
      <c r="E17" s="58">
        <v>2126338</v>
      </c>
      <c r="F17" s="56">
        <v>194</v>
      </c>
      <c r="G17" s="50"/>
      <c r="H17" s="50" t="s">
        <v>218</v>
      </c>
      <c r="I17" s="59">
        <v>7.8</v>
      </c>
      <c r="J17" s="63">
        <v>22</v>
      </c>
      <c r="K17" s="50" t="s">
        <v>219</v>
      </c>
      <c r="L17" s="60">
        <v>205</v>
      </c>
      <c r="M17" s="50" t="s">
        <v>220</v>
      </c>
    </row>
    <row r="18" spans="1:13" ht="14.4">
      <c r="A18" s="50" t="s">
        <v>31</v>
      </c>
      <c r="B18" s="56">
        <v>509.3</v>
      </c>
      <c r="C18" s="57">
        <v>0.60099999999999998</v>
      </c>
      <c r="D18" s="57">
        <v>0.16200000000000001</v>
      </c>
      <c r="E18" s="58">
        <v>2440976</v>
      </c>
      <c r="F18" s="56">
        <v>209</v>
      </c>
      <c r="G18" s="50"/>
      <c r="H18" s="50" t="s">
        <v>194</v>
      </c>
      <c r="I18" s="59">
        <v>8.5</v>
      </c>
      <c r="J18" s="63">
        <v>24</v>
      </c>
      <c r="K18" s="50" t="s">
        <v>166</v>
      </c>
      <c r="L18" s="60">
        <v>611.4</v>
      </c>
      <c r="M18" s="50" t="s">
        <v>221</v>
      </c>
    </row>
    <row r="19" spans="1:13" ht="14.4">
      <c r="A19" s="50" t="s">
        <v>32</v>
      </c>
      <c r="B19" s="56">
        <v>611.4</v>
      </c>
      <c r="C19" s="57">
        <v>0.63</v>
      </c>
      <c r="D19" s="57">
        <v>0.26</v>
      </c>
      <c r="E19" s="58">
        <v>2733893</v>
      </c>
      <c r="F19" s="56">
        <v>223.6</v>
      </c>
      <c r="G19" s="50"/>
      <c r="H19" s="50" t="s">
        <v>222</v>
      </c>
      <c r="I19" s="59">
        <v>9.1999999999999993</v>
      </c>
      <c r="J19" s="63">
        <v>26</v>
      </c>
      <c r="K19" s="50" t="s">
        <v>223</v>
      </c>
      <c r="L19" s="59">
        <v>8.8000000000000007</v>
      </c>
      <c r="M19" s="50" t="s">
        <v>224</v>
      </c>
    </row>
    <row r="20" spans="1:13" ht="14.4">
      <c r="A20" s="50" t="s">
        <v>33</v>
      </c>
      <c r="B20" s="56">
        <v>719.4</v>
      </c>
      <c r="C20" s="57">
        <v>0.64</v>
      </c>
      <c r="D20" s="57">
        <v>0.28999999999999998</v>
      </c>
      <c r="E20" s="58">
        <v>3034621</v>
      </c>
      <c r="F20" s="56">
        <v>237</v>
      </c>
      <c r="G20" s="50"/>
      <c r="H20" s="61" t="s">
        <v>225</v>
      </c>
      <c r="I20" s="62">
        <f>IF(B5="Low",I17,IF(B5="Target",I18,IF(B5="High",I19,"")))</f>
        <v>8.5</v>
      </c>
      <c r="J20" s="64">
        <f>E5</f>
        <v>24</v>
      </c>
      <c r="K20" s="50" t="s">
        <v>226</v>
      </c>
      <c r="L20" s="50" t="s">
        <v>227</v>
      </c>
      <c r="M20" s="50" t="s">
        <v>228</v>
      </c>
    </row>
    <row r="21" spans="1:13" ht="14.4">
      <c r="A21" s="50" t="s">
        <v>34</v>
      </c>
      <c r="B21" s="56">
        <v>830.8</v>
      </c>
      <c r="C21" s="57">
        <v>0.65</v>
      </c>
      <c r="D21" s="57">
        <v>0.31</v>
      </c>
      <c r="E21" s="58">
        <v>3338083</v>
      </c>
      <c r="F21" s="56">
        <v>248.9</v>
      </c>
      <c r="G21" s="50"/>
      <c r="H21" s="50"/>
      <c r="I21" s="50"/>
      <c r="J21" s="50"/>
      <c r="K21" s="50"/>
      <c r="L21" s="50"/>
      <c r="M21" s="50"/>
    </row>
    <row r="22" spans="1:13" ht="14.4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spans="1:13" ht="24" customHeight="1">
      <c r="A23" s="79" t="s">
        <v>229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</row>
    <row r="24" spans="1:13" ht="22.05" customHeight="1">
      <c r="A24" s="82" t="s">
        <v>230</v>
      </c>
      <c r="B24" s="83"/>
      <c r="C24" s="82"/>
      <c r="D24" s="83"/>
      <c r="E24" s="83" t="s">
        <v>231</v>
      </c>
      <c r="F24" s="83"/>
      <c r="G24" s="83"/>
      <c r="H24" s="83"/>
      <c r="I24" s="83"/>
      <c r="J24" s="83" t="s">
        <v>232</v>
      </c>
      <c r="K24" s="83"/>
      <c r="L24" s="83"/>
      <c r="M24" s="83"/>
    </row>
    <row r="25" spans="1:13" ht="22.05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</row>
    <row r="26" spans="1:13" ht="22.0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</row>
    <row r="27" spans="1:13" ht="22.0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</row>
    <row r="28" spans="1:13" ht="22.0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</row>
    <row r="29" spans="1:13" ht="14.4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</row>
    <row r="30" spans="1:13" ht="14.4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  <row r="31" spans="1:13" ht="14.4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 spans="1:13" ht="14.4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 spans="1:13" ht="14.4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</row>
    <row r="34" spans="1:13" ht="14.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</row>
    <row r="35" spans="1:13" ht="14.4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</row>
    <row r="36" spans="1:13" ht="14.4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 spans="1:13" ht="14.4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</row>
    <row r="38" spans="1:13" ht="14.4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 spans="1:13" ht="14.4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</row>
    <row r="40" spans="1:13" ht="14.4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 spans="1:13" ht="14.4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</row>
    <row r="42" spans="1:13" ht="14.4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</row>
    <row r="43" spans="1:13" ht="14.4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</row>
    <row r="44" spans="1:13" ht="14.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4.4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ht="14.4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</row>
    <row r="47" spans="1:13" ht="14.4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4.4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ht="14.4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ht="14.4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4.4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  <row r="52" spans="1:13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</row>
    <row r="53" spans="1:1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</row>
    <row r="54" spans="1:13" ht="14.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</row>
    <row r="55" spans="1:13" ht="14.4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6" spans="1:13" ht="14.4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</row>
    <row r="57" spans="1:13" ht="14.4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</row>
    <row r="58" spans="1:13" ht="14.4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 spans="1:13" ht="14.4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</row>
    <row r="60" spans="1:13" ht="14.4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</row>
    <row r="61" spans="1:13" ht="14.4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</row>
    <row r="62" spans="1:13" ht="14.4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</row>
    <row r="63" spans="1:13" ht="14.4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</row>
    <row r="64" spans="1:13" ht="14.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</row>
    <row r="65" spans="1:13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</row>
    <row r="66" spans="1:13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</row>
  </sheetData>
  <mergeCells count="24">
    <mergeCell ref="A65:M66"/>
    <mergeCell ref="A23:M23"/>
    <mergeCell ref="A52:M53"/>
    <mergeCell ref="G5:M5"/>
    <mergeCell ref="A24:D28"/>
    <mergeCell ref="E24:I28"/>
    <mergeCell ref="J24:M28"/>
    <mergeCell ref="K11:M13"/>
    <mergeCell ref="I7:J8"/>
    <mergeCell ref="I9:J9"/>
    <mergeCell ref="A15:F15"/>
    <mergeCell ref="H15:M15"/>
    <mergeCell ref="A11:B13"/>
    <mergeCell ref="C11:D13"/>
    <mergeCell ref="E11:F13"/>
    <mergeCell ref="G11:H13"/>
    <mergeCell ref="I11:J13"/>
    <mergeCell ref="A1:M2"/>
    <mergeCell ref="A3:M3"/>
    <mergeCell ref="A7:B9"/>
    <mergeCell ref="C7:D9"/>
    <mergeCell ref="E7:F9"/>
    <mergeCell ref="G7:H9"/>
    <mergeCell ref="K7:M9"/>
  </mergeCells>
  <conditionalFormatting sqref="C17:D21">
    <cfRule type="colorScale" priority="2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J17:J19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{10B9C976-6571-1AA5-CC63-B68E1BBC75C6}</x14:id>
        </ext>
      </extLst>
    </cfRule>
  </conditionalFormatting>
  <dataValidations count="1">
    <dataValidation type="list" sqref="B5" xr:uid="{00000000-0002-0000-0800-000000000000}">
      <formula1>"Low,Target,High"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B9C976-6571-1AA5-CC63-B68E1BBC75C6}">
            <x14:dataBar>
              <x14:cfvo type="min"/>
              <x14:cfvo type="max"/>
              <x14:negativeFillColor auto="1"/>
              <x14:axisColor auto="1"/>
            </x14:dataBar>
          </x14:cfRule>
          <xm:sqref>J17:J19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topLeftCell="B1" workbookViewId="0">
      <selection activeCell="F12" sqref="F12"/>
    </sheetView>
  </sheetViews>
  <sheetFormatPr defaultRowHeight="13.8"/>
  <cols>
    <col min="1" max="1" width="23.296875" bestFit="1" customWidth="1"/>
    <col min="2" max="2" width="19" bestFit="1" customWidth="1"/>
    <col min="3" max="3" width="12" bestFit="1" customWidth="1"/>
    <col min="4" max="4" width="8.69921875" bestFit="1" customWidth="1"/>
    <col min="5" max="5" width="12.5" bestFit="1" customWidth="1"/>
    <col min="6" max="6" width="16" bestFit="1" customWidth="1"/>
    <col min="7" max="7" width="11.3984375" bestFit="1" customWidth="1"/>
  </cols>
  <sheetData>
    <row r="1" spans="1:7">
      <c r="A1" s="45" t="s">
        <v>211</v>
      </c>
      <c r="B1" s="45" t="s">
        <v>58</v>
      </c>
      <c r="C1" s="45" t="s">
        <v>233</v>
      </c>
      <c r="D1" s="45" t="s">
        <v>57</v>
      </c>
      <c r="E1" s="45" t="s">
        <v>37</v>
      </c>
      <c r="F1" s="45" t="s">
        <v>64</v>
      </c>
    </row>
    <row r="2" spans="1:7">
      <c r="A2" t="s">
        <v>30</v>
      </c>
      <c r="B2" s="46">
        <v>412</v>
      </c>
      <c r="C2" s="66">
        <v>2.1263380000000001</v>
      </c>
      <c r="D2" s="46">
        <v>194</v>
      </c>
      <c r="E2" s="47">
        <v>0.55500000000000005</v>
      </c>
      <c r="F2" s="47">
        <v>0.128</v>
      </c>
    </row>
    <row r="3" spans="1:7">
      <c r="A3" t="s">
        <v>31</v>
      </c>
      <c r="B3" s="46">
        <v>509.3</v>
      </c>
      <c r="C3" s="66">
        <v>2.440976</v>
      </c>
      <c r="D3" s="46">
        <v>209</v>
      </c>
      <c r="E3" s="47">
        <v>0.60099999999999998</v>
      </c>
      <c r="F3" s="47">
        <v>0.16200000000000001</v>
      </c>
    </row>
    <row r="4" spans="1:7">
      <c r="A4" t="s">
        <v>32</v>
      </c>
      <c r="B4" s="46">
        <v>611.4</v>
      </c>
      <c r="C4" s="66">
        <v>2.7338930000000001</v>
      </c>
      <c r="D4" s="46">
        <v>223.6</v>
      </c>
      <c r="E4" s="47">
        <v>0.63</v>
      </c>
      <c r="F4" s="47">
        <v>0.26</v>
      </c>
    </row>
    <row r="5" spans="1:7">
      <c r="A5" t="s">
        <v>33</v>
      </c>
      <c r="B5" s="46">
        <v>719.4</v>
      </c>
      <c r="C5" s="66">
        <v>3.034621</v>
      </c>
      <c r="D5" s="46">
        <v>237</v>
      </c>
      <c r="E5" s="47">
        <v>0.64</v>
      </c>
      <c r="F5" s="47">
        <v>0.28999999999999998</v>
      </c>
    </row>
    <row r="6" spans="1:7">
      <c r="A6" t="s">
        <v>34</v>
      </c>
      <c r="B6" s="46">
        <v>830.8</v>
      </c>
      <c r="C6" s="66">
        <v>3.3380830000000001</v>
      </c>
      <c r="D6" s="46">
        <v>248.9</v>
      </c>
      <c r="E6" s="47">
        <v>0.65</v>
      </c>
      <c r="F6" s="47">
        <v>0.31</v>
      </c>
    </row>
    <row r="8" spans="1:7" ht="17.399999999999999">
      <c r="A8" s="45" t="s">
        <v>164</v>
      </c>
      <c r="B8" s="45" t="s">
        <v>213</v>
      </c>
      <c r="C8" s="45" t="s">
        <v>214</v>
      </c>
      <c r="E8" s="67" t="s">
        <v>240</v>
      </c>
    </row>
    <row r="9" spans="1:7">
      <c r="A9" t="s">
        <v>218</v>
      </c>
      <c r="B9" s="48">
        <v>7.8</v>
      </c>
      <c r="C9" s="65">
        <v>22</v>
      </c>
    </row>
    <row r="10" spans="1:7">
      <c r="A10" t="s">
        <v>194</v>
      </c>
      <c r="B10" s="48">
        <v>8.5</v>
      </c>
      <c r="C10" s="65">
        <v>24</v>
      </c>
      <c r="E10" s="68" t="s">
        <v>211</v>
      </c>
      <c r="F10" s="68" t="s">
        <v>241</v>
      </c>
      <c r="G10" s="68" t="s">
        <v>242</v>
      </c>
    </row>
    <row r="11" spans="1:7">
      <c r="A11" t="s">
        <v>222</v>
      </c>
      <c r="B11" s="48">
        <v>9.1999999999999993</v>
      </c>
      <c r="C11" s="65">
        <v>26</v>
      </c>
      <c r="E11" s="69" t="s">
        <v>30</v>
      </c>
      <c r="F11" s="69">
        <v>100</v>
      </c>
      <c r="G11" s="69">
        <v>100</v>
      </c>
    </row>
    <row r="12" spans="1:7">
      <c r="E12" s="69" t="s">
        <v>31</v>
      </c>
      <c r="F12" s="70">
        <f>'KPI Schedule'!C4/'KPI Schedule'!B4*100</f>
        <v>114.79717711859546</v>
      </c>
      <c r="G12" s="70">
        <f>'KPI Schedule'!C6/'KPI Schedule'!B6*100</f>
        <v>107.73195876288659</v>
      </c>
    </row>
    <row r="13" spans="1:7">
      <c r="A13" s="45" t="s">
        <v>234</v>
      </c>
      <c r="B13" s="45" t="s">
        <v>235</v>
      </c>
      <c r="E13" s="69" t="s">
        <v>32</v>
      </c>
      <c r="F13" s="70">
        <f>'KPI Schedule'!D4/'KPI Schedule'!B4*100</f>
        <v>128.57283837282688</v>
      </c>
      <c r="G13" s="70">
        <f>'KPI Schedule'!D6/'KPI Schedule'!B6*100</f>
        <v>115.27319587628868</v>
      </c>
    </row>
    <row r="14" spans="1:7">
      <c r="A14" t="s">
        <v>59</v>
      </c>
      <c r="B14" s="49">
        <v>0.35</v>
      </c>
      <c r="E14" s="69" t="s">
        <v>33</v>
      </c>
      <c r="F14" s="70">
        <f>'KPI Schedule'!E4/'KPI Schedule'!B4*100</f>
        <v>142.7158505938379</v>
      </c>
      <c r="G14" s="70">
        <f>'KPI Schedule'!E6/'KPI Schedule'!B6*100</f>
        <v>122.18958762886598</v>
      </c>
    </row>
    <row r="15" spans="1:7">
      <c r="A15" t="s">
        <v>236</v>
      </c>
      <c r="B15" s="49">
        <v>0.25</v>
      </c>
      <c r="E15" s="69" t="s">
        <v>34</v>
      </c>
      <c r="F15" s="70">
        <f>'KPI Schedule'!F4/'KPI Schedule'!B4*100</f>
        <v>156.9874356532217</v>
      </c>
      <c r="G15" s="70">
        <f>'KPI Schedule'!F6/'KPI Schedule'!B6*100</f>
        <v>128.29906701030927</v>
      </c>
    </row>
    <row r="16" spans="1:7">
      <c r="A16" t="s">
        <v>237</v>
      </c>
      <c r="B16" s="49">
        <v>0.2</v>
      </c>
    </row>
    <row r="17" spans="1:2">
      <c r="A17" t="s">
        <v>238</v>
      </c>
      <c r="B17" s="49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KPI Schedule</vt:lpstr>
      <vt:lpstr>Revenue Build</vt:lpstr>
      <vt:lpstr>Income Statement</vt:lpstr>
      <vt:lpstr>Balance Sheet</vt:lpstr>
      <vt:lpstr>Cash Flow</vt:lpstr>
      <vt:lpstr>Valuation</vt:lpstr>
      <vt:lpstr>Interactive Dashboard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Nilesh Wagh</cp:lastModifiedBy>
  <dcterms:modified xsi:type="dcterms:W3CDTF">2026-06-18T20:04:32Z</dcterms:modified>
</cp:coreProperties>
</file>